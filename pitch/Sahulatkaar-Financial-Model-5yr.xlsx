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s &quot;#,##0;(&quot;Rs &quot;#,##0);&quot;-&quot;"/>
    <numFmt numFmtId="165" formatCode="0.0%;(0.0%);&quot;-&quot;"/>
    <numFmt numFmtId="166" formatCode="#,##0;(#,##0);&quot;-&quot;"/>
    <numFmt numFmtId="167" formatCode="0.000"/>
    <numFmt numFmtId="168" formatCode="&quot;$&quot;#,##0;(&quot;$&quot;#,##0);&quot;-&quot;"/>
    <numFmt numFmtId="169" formatCode="0.0&quot;x&quot;"/>
    <numFmt numFmtId="170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0A5C46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</font>
    <font>
      <name val="Arial"/>
      <color rgb="000000FF"/>
    </font>
    <font>
      <name val="Arial"/>
      <b val="1"/>
      <color rgb="00FFFFFF"/>
    </font>
    <font>
      <name val="Arial"/>
      <color rgb="00888888"/>
      <sz val="8"/>
    </font>
    <font>
      <name val="Arial"/>
      <b val="1"/>
    </font>
    <font>
      <name val="Arial"/>
      <color rgb="00008000"/>
    </font>
    <font>
      <name val="Arial"/>
      <b val="1"/>
      <color rgb="00008000"/>
    </font>
    <font>
      <name val="Arial"/>
      <b val="1"/>
      <color rgb="00000000"/>
    </font>
  </fonts>
  <fills count="4">
    <fill>
      <patternFill/>
    </fill>
    <fill>
      <patternFill patternType="gray125"/>
    </fill>
    <fill>
      <patternFill patternType="solid">
        <fgColor rgb="000A5C4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4" fontId="4" fillId="0" borderId="0" pivotButton="0" quotePrefix="0" xfId="0"/>
    <xf numFmtId="0" fontId="6" fillId="2" borderId="0" pivotButton="0" quotePrefix="0" xfId="0"/>
    <xf numFmtId="166" fontId="5" fillId="0" borderId="0" pivotButton="0" quotePrefix="0" xfId="0"/>
    <xf numFmtId="0" fontId="7" fillId="0" borderId="0" pivotButton="0" quotePrefix="0" xfId="0"/>
    <xf numFmtId="165" fontId="5" fillId="3" borderId="0" pivotButton="0" quotePrefix="0" xfId="0"/>
    <xf numFmtId="164" fontId="5" fillId="3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" fontId="4" fillId="0" borderId="0" pivotButton="0" quotePrefix="0" xfId="0"/>
    <xf numFmtId="166" fontId="9" fillId="0" borderId="1" pivotButton="0" quotePrefix="0" xfId="0"/>
    <xf numFmtId="166" fontId="10" fillId="0" borderId="1" pivotButton="0" quotePrefix="0" xfId="0"/>
    <xf numFmtId="164" fontId="9" fillId="0" borderId="1" pivotButton="0" quotePrefix="0" xfId="0"/>
    <xf numFmtId="164" fontId="11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8" fillId="0" borderId="0" pivotButton="0" quotePrefix="0" xfId="0"/>
    <xf numFmtId="168" fontId="4" fillId="0" borderId="1" pivotButton="0" quotePrefix="0" xfId="0"/>
    <xf numFmtId="169" fontId="4" fillId="0" borderId="0" pivotButton="0" quotePrefix="0" xfId="0"/>
    <xf numFmtId="170" fontId="4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168" fontId="9" fillId="0" borderId="0" pivotButton="0" quotePrefix="0" xfId="0"/>
    <xf numFmtId="165" fontId="9" fillId="0" borderId="0" pivotButton="0" quotePrefix="0" xfId="0"/>
    <xf numFmtId="169" fontId="9" fillId="0" borderId="0" pivotButton="0" quotePrefix="0" xfId="0"/>
    <xf numFmtId="17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'Forecast'!A12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'Forecast'!$B$3:$F$3</f>
            </numRef>
          </cat>
          <val>
            <numRef>
              <f>'Forecast'!$B$12:$F$12</f>
            </numRef>
          </val>
        </ser>
        <ser>
          <idx val="1"/>
          <order val="1"/>
          <tx>
            <strRef>
              <f>'Forecast'!A25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'Forecast'!$B$3:$F$3</f>
            </numRef>
          </cat>
          <val>
            <numRef>
              <f>'Forecast'!$B$25:$F$25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merchants (end of year)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'Forecast'!$B$3:$F$3</f>
            </numRef>
          </cat>
          <val>
            <numRef>
              <f>'Forecast'!$B$7:$F$7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SAHULATKAAR — 5-YEAR MODEL ASSUMPTIONS</t>
        </is>
      </c>
    </row>
    <row r="2">
      <c r="A2" s="2" t="inlineStr">
        <is>
          <t>Blue cells are inputs — change any of them and the entire model recalculates.</t>
        </is>
      </c>
    </row>
    <row r="4">
      <c r="A4" s="3" t="inlineStr">
        <is>
          <t>PRICING (Rs / month)</t>
        </is>
      </c>
    </row>
    <row r="5">
      <c r="A5" s="4" t="inlineStr">
        <is>
          <t>Chhota plan</t>
        </is>
      </c>
      <c r="B5" s="5" t="n">
        <v>2500</v>
      </c>
    </row>
    <row r="6">
      <c r="A6" s="4" t="inlineStr">
        <is>
          <t>Dukaan plan</t>
        </is>
      </c>
      <c r="B6" s="5" t="n">
        <v>5000</v>
      </c>
    </row>
    <row r="7">
      <c r="A7" s="4" t="inlineStr">
        <is>
          <t>Karobaar plan</t>
        </is>
      </c>
      <c r="B7" s="5" t="n">
        <v>12000</v>
      </c>
    </row>
    <row r="8">
      <c r="A8" s="4" t="inlineStr">
        <is>
          <t>Plan mix — Chhota</t>
        </is>
      </c>
      <c r="B8" s="6" t="n">
        <v>0.3</v>
      </c>
    </row>
    <row r="9">
      <c r="A9" s="4" t="inlineStr">
        <is>
          <t>Plan mix — Dukaan</t>
        </is>
      </c>
      <c r="B9" s="6" t="n">
        <v>0.55</v>
      </c>
    </row>
    <row r="10">
      <c r="A10" s="4" t="inlineStr">
        <is>
          <t>Plan mix — Karobaar</t>
        </is>
      </c>
      <c r="B10" s="6" t="n">
        <v>0.15</v>
      </c>
    </row>
    <row r="11">
      <c r="A11" t="inlineStr">
        <is>
          <t>Blended ARPU (Rs/mo)</t>
        </is>
      </c>
      <c r="B11" s="7">
        <f>SUMPRODUCT(B5:B7,B8:B10)</f>
        <v/>
      </c>
    </row>
    <row r="12">
      <c r="A12" s="4" t="inlineStr">
        <is>
          <t>Annual price increase (from Y2)</t>
        </is>
      </c>
      <c r="B12" s="6" t="n">
        <v>0.08</v>
      </c>
    </row>
    <row r="13">
      <c r="A13" s="4" t="inlineStr">
        <is>
          <t>Setup fee per new merchant (one-time)</t>
        </is>
      </c>
      <c r="B13" s="5" t="n">
        <v>5000</v>
      </c>
    </row>
    <row r="15">
      <c r="A15" s="3" t="inlineStr">
        <is>
          <t>GROWTH</t>
        </is>
      </c>
      <c r="C15" s="8" t="inlineStr">
        <is>
          <t>Y1</t>
        </is>
      </c>
      <c r="D15" s="8" t="inlineStr">
        <is>
          <t>Y2</t>
        </is>
      </c>
      <c r="E15" s="8" t="inlineStr">
        <is>
          <t>Y3</t>
        </is>
      </c>
      <c r="F15" s="8" t="inlineStr">
        <is>
          <t>Y4</t>
        </is>
      </c>
      <c r="G15" s="8" t="inlineStr">
        <is>
          <t>Y5</t>
        </is>
      </c>
    </row>
    <row r="16">
      <c r="A16" s="4" t="inlineStr">
        <is>
          <t>New merchants signed / month</t>
        </is>
      </c>
      <c r="C16" s="9" t="n">
        <v>15</v>
      </c>
      <c r="D16" s="9" t="n">
        <v>45</v>
      </c>
      <c r="E16" s="9" t="n">
        <v>110</v>
      </c>
      <c r="F16" s="9" t="n">
        <v>220</v>
      </c>
      <c r="G16" s="9" t="n">
        <v>400</v>
      </c>
      <c r="H16" s="10" t="inlineStr">
        <is>
          <t>Field sales + digital; PK has ~500k WhatsApp-selling retailers</t>
        </is>
      </c>
    </row>
    <row r="17">
      <c r="A17" s="4" t="inlineStr">
        <is>
          <t>Monthly churn</t>
        </is>
      </c>
      <c r="B17" s="11" t="n">
        <v>0.03</v>
      </c>
    </row>
    <row r="19">
      <c r="A19" s="3" t="inlineStr">
        <is>
          <t>DIRECT COST PER ACTIVE MERCHANT (Rs / month)</t>
        </is>
      </c>
    </row>
    <row r="20">
      <c r="A20" s="4" t="inlineStr">
        <is>
          <t>AI (Gemini) usage</t>
        </is>
      </c>
      <c r="B20" s="5" t="n">
        <v>350</v>
      </c>
    </row>
    <row r="21">
      <c r="A21" s="4" t="inlineStr">
        <is>
          <t>Hosting &amp; infrastructure</t>
        </is>
      </c>
      <c r="B21" s="5" t="n">
        <v>120</v>
      </c>
    </row>
    <row r="22">
      <c r="A22" s="4" t="inlineStr">
        <is>
          <t>WhatsApp / BSP fees</t>
        </is>
      </c>
      <c r="B22" s="5" t="n">
        <v>800</v>
      </c>
      <c r="H22" s="10" t="inlineStr">
        <is>
          <t>Blended: BSP early, Meta Tech Provider at scale; customer-initiated msgs are free</t>
        </is>
      </c>
    </row>
    <row r="23">
      <c r="A23" t="inlineStr">
        <is>
          <t>Total direct cost</t>
        </is>
      </c>
      <c r="B23" s="7">
        <f>SUM(B20:B22)</f>
        <v/>
      </c>
    </row>
    <row r="25">
      <c r="A25" s="3" t="inlineStr">
        <is>
          <t>TEAM</t>
        </is>
      </c>
      <c r="C25" s="8" t="inlineStr">
        <is>
          <t>Y1</t>
        </is>
      </c>
      <c r="D25" s="8" t="inlineStr">
        <is>
          <t>Y2</t>
        </is>
      </c>
      <c r="E25" s="8" t="inlineStr">
        <is>
          <t>Y3</t>
        </is>
      </c>
      <c r="F25" s="8" t="inlineStr">
        <is>
          <t>Y4</t>
        </is>
      </c>
      <c r="G25" s="8" t="inlineStr">
        <is>
          <t>Y5</t>
        </is>
      </c>
    </row>
    <row r="26">
      <c r="A26" s="4" t="inlineStr">
        <is>
          <t>Engineers (headcount)</t>
        </is>
      </c>
      <c r="C26" s="9" t="n">
        <v>2</v>
      </c>
      <c r="D26" s="9" t="n">
        <v>3</v>
      </c>
      <c r="E26" s="9" t="n">
        <v>5</v>
      </c>
      <c r="F26" s="9" t="n">
        <v>8</v>
      </c>
      <c r="G26" s="9" t="n">
        <v>12</v>
      </c>
    </row>
    <row r="27">
      <c r="A27" s="4" t="inlineStr">
        <is>
          <t>Avg engineer salary (Rs/mo, Y1)</t>
        </is>
      </c>
      <c r="B27" s="5" t="n">
        <v>350000</v>
      </c>
    </row>
    <row r="28">
      <c r="A28" s="4" t="inlineStr">
        <is>
          <t>Merchants per support agent</t>
        </is>
      </c>
      <c r="B28" s="9" t="n">
        <v>150</v>
      </c>
    </row>
    <row r="29">
      <c r="A29" s="4" t="inlineStr">
        <is>
          <t>Support agent salary (Rs/mo, Y1)</t>
        </is>
      </c>
      <c r="B29" s="5" t="n">
        <v>70000</v>
      </c>
    </row>
    <row r="30">
      <c r="A30" s="4" t="inlineStr">
        <is>
          <t>Management cost (Rs/mo)</t>
        </is>
      </c>
      <c r="C30" s="5" t="n">
        <v>300000</v>
      </c>
      <c r="D30" s="5" t="n">
        <v>500000</v>
      </c>
      <c r="E30" s="5" t="n">
        <v>800000</v>
      </c>
      <c r="F30" s="5" t="n">
        <v>1200000</v>
      </c>
      <c r="G30" s="5" t="n">
        <v>1800000</v>
      </c>
    </row>
    <row r="31">
      <c r="A31" s="4" t="inlineStr">
        <is>
          <t>Salary inflation / yr</t>
        </is>
      </c>
      <c r="B31" s="6" t="n">
        <v>0.1</v>
      </c>
    </row>
    <row r="33">
      <c r="A33" s="3" t="inlineStr">
        <is>
          <t>SALES &amp; MARKETING</t>
        </is>
      </c>
    </row>
    <row r="34">
      <c r="A34" s="4" t="inlineStr">
        <is>
          <t>CAC per merchant (Rs)</t>
        </is>
      </c>
      <c r="B34" s="12" t="n">
        <v>8000</v>
      </c>
    </row>
    <row r="35">
      <c r="A35" s="4" t="inlineStr">
        <is>
          <t>Brand budget (Rs/yr)</t>
        </is>
      </c>
      <c r="C35" s="5" t="n">
        <v>1200000</v>
      </c>
      <c r="D35" s="5" t="n">
        <v>3000000</v>
      </c>
      <c r="E35" s="5" t="n">
        <v>6000000</v>
      </c>
      <c r="F35" s="5" t="n">
        <v>10000000</v>
      </c>
      <c r="G35" s="5" t="n">
        <v>15000000</v>
      </c>
    </row>
    <row r="37">
      <c r="A37" s="3" t="inlineStr">
        <is>
          <t>OTHER</t>
        </is>
      </c>
    </row>
    <row r="38">
      <c r="A38" s="4" t="inlineStr">
        <is>
          <t>G&amp;A / office (Rs/mo)</t>
        </is>
      </c>
      <c r="C38" s="5" t="n">
        <v>150000</v>
      </c>
      <c r="D38" s="5" t="n">
        <v>250000</v>
      </c>
      <c r="E38" s="5" t="n">
        <v>400000</v>
      </c>
      <c r="F38" s="5" t="n">
        <v>700000</v>
      </c>
      <c r="G38" s="5" t="n">
        <v>1000000</v>
      </c>
    </row>
    <row r="39">
      <c r="A39" s="4" t="inlineStr">
        <is>
          <t>Corporate tax rate</t>
        </is>
      </c>
      <c r="B39" s="6" t="n">
        <v>0.29</v>
      </c>
    </row>
    <row r="40">
      <c r="A40" s="4" t="inlineStr">
        <is>
          <t>PKR per USD</t>
        </is>
      </c>
      <c r="B40" s="9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MONTHLY ENGINE — 60 months (all formulas; drives the annual Forecast)</t>
        </is>
      </c>
    </row>
    <row r="3">
      <c r="A3" s="4" t="inlineStr">
        <is>
          <t>Month #</t>
        </is>
      </c>
      <c r="B3" s="13" t="n">
        <v>1</v>
      </c>
      <c r="C3" s="13">
        <f>B3+1</f>
        <v/>
      </c>
      <c r="D3" s="13">
        <f>C3+1</f>
        <v/>
      </c>
      <c r="E3" s="13">
        <f>D3+1</f>
        <v/>
      </c>
      <c r="F3" s="13">
        <f>E3+1</f>
        <v/>
      </c>
      <c r="G3" s="13">
        <f>F3+1</f>
        <v/>
      </c>
      <c r="H3" s="13">
        <f>G3+1</f>
        <v/>
      </c>
      <c r="I3" s="13">
        <f>H3+1</f>
        <v/>
      </c>
      <c r="J3" s="13">
        <f>I3+1</f>
        <v/>
      </c>
      <c r="K3" s="13">
        <f>J3+1</f>
        <v/>
      </c>
      <c r="L3" s="13">
        <f>K3+1</f>
        <v/>
      </c>
      <c r="M3" s="13">
        <f>L3+1</f>
        <v/>
      </c>
      <c r="N3" s="13">
        <f>M3+1</f>
        <v/>
      </c>
      <c r="O3" s="13">
        <f>N3+1</f>
        <v/>
      </c>
      <c r="P3" s="13">
        <f>O3+1</f>
        <v/>
      </c>
      <c r="Q3" s="13">
        <f>P3+1</f>
        <v/>
      </c>
      <c r="R3" s="13">
        <f>Q3+1</f>
        <v/>
      </c>
      <c r="S3" s="13">
        <f>R3+1</f>
        <v/>
      </c>
      <c r="T3" s="13">
        <f>S3+1</f>
        <v/>
      </c>
      <c r="U3" s="13">
        <f>T3+1</f>
        <v/>
      </c>
      <c r="V3" s="13">
        <f>U3+1</f>
        <v/>
      </c>
      <c r="W3" s="13">
        <f>V3+1</f>
        <v/>
      </c>
      <c r="X3" s="13">
        <f>W3+1</f>
        <v/>
      </c>
      <c r="Y3" s="13">
        <f>X3+1</f>
        <v/>
      </c>
      <c r="Z3" s="13">
        <f>Y3+1</f>
        <v/>
      </c>
      <c r="AA3" s="13">
        <f>Z3+1</f>
        <v/>
      </c>
      <c r="AB3" s="13">
        <f>AA3+1</f>
        <v/>
      </c>
      <c r="AC3" s="13">
        <f>AB3+1</f>
        <v/>
      </c>
      <c r="AD3" s="13">
        <f>AC3+1</f>
        <v/>
      </c>
      <c r="AE3" s="13">
        <f>AD3+1</f>
        <v/>
      </c>
      <c r="AF3" s="13">
        <f>AE3+1</f>
        <v/>
      </c>
      <c r="AG3" s="13">
        <f>AF3+1</f>
        <v/>
      </c>
      <c r="AH3" s="13">
        <f>AG3+1</f>
        <v/>
      </c>
      <c r="AI3" s="13">
        <f>AH3+1</f>
        <v/>
      </c>
      <c r="AJ3" s="13">
        <f>AI3+1</f>
        <v/>
      </c>
      <c r="AK3" s="13">
        <f>AJ3+1</f>
        <v/>
      </c>
      <c r="AL3" s="13">
        <f>AK3+1</f>
        <v/>
      </c>
      <c r="AM3" s="13">
        <f>AL3+1</f>
        <v/>
      </c>
      <c r="AN3" s="13">
        <f>AM3+1</f>
        <v/>
      </c>
      <c r="AO3" s="13">
        <f>AN3+1</f>
        <v/>
      </c>
      <c r="AP3" s="13">
        <f>AO3+1</f>
        <v/>
      </c>
      <c r="AQ3" s="13">
        <f>AP3+1</f>
        <v/>
      </c>
      <c r="AR3" s="13">
        <f>AQ3+1</f>
        <v/>
      </c>
      <c r="AS3" s="13">
        <f>AR3+1</f>
        <v/>
      </c>
      <c r="AT3" s="13">
        <f>AS3+1</f>
        <v/>
      </c>
      <c r="AU3" s="13">
        <f>AT3+1</f>
        <v/>
      </c>
      <c r="AV3" s="13">
        <f>AU3+1</f>
        <v/>
      </c>
      <c r="AW3" s="13">
        <f>AV3+1</f>
        <v/>
      </c>
      <c r="AX3" s="13">
        <f>AW3+1</f>
        <v/>
      </c>
      <c r="AY3" s="13">
        <f>AX3+1</f>
        <v/>
      </c>
      <c r="AZ3" s="13">
        <f>AY3+1</f>
        <v/>
      </c>
      <c r="BA3" s="13">
        <f>AZ3+1</f>
        <v/>
      </c>
      <c r="BB3" s="13">
        <f>BA3+1</f>
        <v/>
      </c>
      <c r="BC3" s="13">
        <f>BB3+1</f>
        <v/>
      </c>
      <c r="BD3" s="13">
        <f>BC3+1</f>
        <v/>
      </c>
      <c r="BE3" s="13">
        <f>BD3+1</f>
        <v/>
      </c>
      <c r="BF3" s="13">
        <f>BE3+1</f>
        <v/>
      </c>
      <c r="BG3" s="13">
        <f>BF3+1</f>
        <v/>
      </c>
      <c r="BH3" s="13">
        <f>BG3+1</f>
        <v/>
      </c>
      <c r="BI3" s="13">
        <f>BH3+1</f>
        <v/>
      </c>
    </row>
    <row r="4">
      <c r="A4" s="4" t="inlineStr">
        <is>
          <t>Year</t>
        </is>
      </c>
      <c r="B4" s="13">
        <f>INT((B3-1)/12)+1</f>
        <v/>
      </c>
      <c r="C4" s="13">
        <f>INT((C3-1)/12)+1</f>
        <v/>
      </c>
      <c r="D4" s="13">
        <f>INT((D3-1)/12)+1</f>
        <v/>
      </c>
      <c r="E4" s="13">
        <f>INT((E3-1)/12)+1</f>
        <v/>
      </c>
      <c r="F4" s="13">
        <f>INT((F3-1)/12)+1</f>
        <v/>
      </c>
      <c r="G4" s="13">
        <f>INT((G3-1)/12)+1</f>
        <v/>
      </c>
      <c r="H4" s="13">
        <f>INT((H3-1)/12)+1</f>
        <v/>
      </c>
      <c r="I4" s="13">
        <f>INT((I3-1)/12)+1</f>
        <v/>
      </c>
      <c r="J4" s="13">
        <f>INT((J3-1)/12)+1</f>
        <v/>
      </c>
      <c r="K4" s="13">
        <f>INT((K3-1)/12)+1</f>
        <v/>
      </c>
      <c r="L4" s="13">
        <f>INT((L3-1)/12)+1</f>
        <v/>
      </c>
      <c r="M4" s="13">
        <f>INT((M3-1)/12)+1</f>
        <v/>
      </c>
      <c r="N4" s="13">
        <f>INT((N3-1)/12)+1</f>
        <v/>
      </c>
      <c r="O4" s="13">
        <f>INT((O3-1)/12)+1</f>
        <v/>
      </c>
      <c r="P4" s="13">
        <f>INT((P3-1)/12)+1</f>
        <v/>
      </c>
      <c r="Q4" s="13">
        <f>INT((Q3-1)/12)+1</f>
        <v/>
      </c>
      <c r="R4" s="13">
        <f>INT((R3-1)/12)+1</f>
        <v/>
      </c>
      <c r="S4" s="13">
        <f>INT((S3-1)/12)+1</f>
        <v/>
      </c>
      <c r="T4" s="13">
        <f>INT((T3-1)/12)+1</f>
        <v/>
      </c>
      <c r="U4" s="13">
        <f>INT((U3-1)/12)+1</f>
        <v/>
      </c>
      <c r="V4" s="13">
        <f>INT((V3-1)/12)+1</f>
        <v/>
      </c>
      <c r="W4" s="13">
        <f>INT((W3-1)/12)+1</f>
        <v/>
      </c>
      <c r="X4" s="13">
        <f>INT((X3-1)/12)+1</f>
        <v/>
      </c>
      <c r="Y4" s="13">
        <f>INT((Y3-1)/12)+1</f>
        <v/>
      </c>
      <c r="Z4" s="13">
        <f>INT((Z3-1)/12)+1</f>
        <v/>
      </c>
      <c r="AA4" s="13">
        <f>INT((AA3-1)/12)+1</f>
        <v/>
      </c>
      <c r="AB4" s="13">
        <f>INT((AB3-1)/12)+1</f>
        <v/>
      </c>
      <c r="AC4" s="13">
        <f>INT((AC3-1)/12)+1</f>
        <v/>
      </c>
      <c r="AD4" s="13">
        <f>INT((AD3-1)/12)+1</f>
        <v/>
      </c>
      <c r="AE4" s="13">
        <f>INT((AE3-1)/12)+1</f>
        <v/>
      </c>
      <c r="AF4" s="13">
        <f>INT((AF3-1)/12)+1</f>
        <v/>
      </c>
      <c r="AG4" s="13">
        <f>INT((AG3-1)/12)+1</f>
        <v/>
      </c>
      <c r="AH4" s="13">
        <f>INT((AH3-1)/12)+1</f>
        <v/>
      </c>
      <c r="AI4" s="13">
        <f>INT((AI3-1)/12)+1</f>
        <v/>
      </c>
      <c r="AJ4" s="13">
        <f>INT((AJ3-1)/12)+1</f>
        <v/>
      </c>
      <c r="AK4" s="13">
        <f>INT((AK3-1)/12)+1</f>
        <v/>
      </c>
      <c r="AL4" s="13">
        <f>INT((AL3-1)/12)+1</f>
        <v/>
      </c>
      <c r="AM4" s="13">
        <f>INT((AM3-1)/12)+1</f>
        <v/>
      </c>
      <c r="AN4" s="13">
        <f>INT((AN3-1)/12)+1</f>
        <v/>
      </c>
      <c r="AO4" s="13">
        <f>INT((AO3-1)/12)+1</f>
        <v/>
      </c>
      <c r="AP4" s="13">
        <f>INT((AP3-1)/12)+1</f>
        <v/>
      </c>
      <c r="AQ4" s="13">
        <f>INT((AQ3-1)/12)+1</f>
        <v/>
      </c>
      <c r="AR4" s="13">
        <f>INT((AR3-1)/12)+1</f>
        <v/>
      </c>
      <c r="AS4" s="13">
        <f>INT((AS3-1)/12)+1</f>
        <v/>
      </c>
      <c r="AT4" s="13">
        <f>INT((AT3-1)/12)+1</f>
        <v/>
      </c>
      <c r="AU4" s="13">
        <f>INT((AU3-1)/12)+1</f>
        <v/>
      </c>
      <c r="AV4" s="13">
        <f>INT((AV3-1)/12)+1</f>
        <v/>
      </c>
      <c r="AW4" s="13">
        <f>INT((AW3-1)/12)+1</f>
        <v/>
      </c>
      <c r="AX4" s="13">
        <f>INT((AX3-1)/12)+1</f>
        <v/>
      </c>
      <c r="AY4" s="13">
        <f>INT((AY3-1)/12)+1</f>
        <v/>
      </c>
      <c r="AZ4" s="13">
        <f>INT((AZ3-1)/12)+1</f>
        <v/>
      </c>
      <c r="BA4" s="13">
        <f>INT((BA3-1)/12)+1</f>
        <v/>
      </c>
      <c r="BB4" s="13">
        <f>INT((BB3-1)/12)+1</f>
        <v/>
      </c>
      <c r="BC4" s="13">
        <f>INT((BC3-1)/12)+1</f>
        <v/>
      </c>
      <c r="BD4" s="13">
        <f>INT((BD3-1)/12)+1</f>
        <v/>
      </c>
      <c r="BE4" s="13">
        <f>INT((BE3-1)/12)+1</f>
        <v/>
      </c>
      <c r="BF4" s="13">
        <f>INT((BF3-1)/12)+1</f>
        <v/>
      </c>
      <c r="BG4" s="13">
        <f>INT((BG3-1)/12)+1</f>
        <v/>
      </c>
      <c r="BH4" s="13">
        <f>INT((BH3-1)/12)+1</f>
        <v/>
      </c>
      <c r="BI4" s="13">
        <f>INT((BI3-1)/12)+1</f>
        <v/>
      </c>
    </row>
    <row r="5">
      <c r="A5" s="4" t="inlineStr">
        <is>
          <t>Price escalator</t>
        </is>
      </c>
      <c r="B5" s="14">
        <f>(1+Assumptions!$B$12)^(B4-1)</f>
        <v/>
      </c>
      <c r="C5" s="14">
        <f>(1+Assumptions!$B$12)^(C4-1)</f>
        <v/>
      </c>
      <c r="D5" s="14">
        <f>(1+Assumptions!$B$12)^(D4-1)</f>
        <v/>
      </c>
      <c r="E5" s="14">
        <f>(1+Assumptions!$B$12)^(E4-1)</f>
        <v/>
      </c>
      <c r="F5" s="14">
        <f>(1+Assumptions!$B$12)^(F4-1)</f>
        <v/>
      </c>
      <c r="G5" s="14">
        <f>(1+Assumptions!$B$12)^(G4-1)</f>
        <v/>
      </c>
      <c r="H5" s="14">
        <f>(1+Assumptions!$B$12)^(H4-1)</f>
        <v/>
      </c>
      <c r="I5" s="14">
        <f>(1+Assumptions!$B$12)^(I4-1)</f>
        <v/>
      </c>
      <c r="J5" s="14">
        <f>(1+Assumptions!$B$12)^(J4-1)</f>
        <v/>
      </c>
      <c r="K5" s="14">
        <f>(1+Assumptions!$B$12)^(K4-1)</f>
        <v/>
      </c>
      <c r="L5" s="14">
        <f>(1+Assumptions!$B$12)^(L4-1)</f>
        <v/>
      </c>
      <c r="M5" s="14">
        <f>(1+Assumptions!$B$12)^(M4-1)</f>
        <v/>
      </c>
      <c r="N5" s="14">
        <f>(1+Assumptions!$B$12)^(N4-1)</f>
        <v/>
      </c>
      <c r="O5" s="14">
        <f>(1+Assumptions!$B$12)^(O4-1)</f>
        <v/>
      </c>
      <c r="P5" s="14">
        <f>(1+Assumptions!$B$12)^(P4-1)</f>
        <v/>
      </c>
      <c r="Q5" s="14">
        <f>(1+Assumptions!$B$12)^(Q4-1)</f>
        <v/>
      </c>
      <c r="R5" s="14">
        <f>(1+Assumptions!$B$12)^(R4-1)</f>
        <v/>
      </c>
      <c r="S5" s="14">
        <f>(1+Assumptions!$B$12)^(S4-1)</f>
        <v/>
      </c>
      <c r="T5" s="14">
        <f>(1+Assumptions!$B$12)^(T4-1)</f>
        <v/>
      </c>
      <c r="U5" s="14">
        <f>(1+Assumptions!$B$12)^(U4-1)</f>
        <v/>
      </c>
      <c r="V5" s="14">
        <f>(1+Assumptions!$B$12)^(V4-1)</f>
        <v/>
      </c>
      <c r="W5" s="14">
        <f>(1+Assumptions!$B$12)^(W4-1)</f>
        <v/>
      </c>
      <c r="X5" s="14">
        <f>(1+Assumptions!$B$12)^(X4-1)</f>
        <v/>
      </c>
      <c r="Y5" s="14">
        <f>(1+Assumptions!$B$12)^(Y4-1)</f>
        <v/>
      </c>
      <c r="Z5" s="14">
        <f>(1+Assumptions!$B$12)^(Z4-1)</f>
        <v/>
      </c>
      <c r="AA5" s="14">
        <f>(1+Assumptions!$B$12)^(AA4-1)</f>
        <v/>
      </c>
      <c r="AB5" s="14">
        <f>(1+Assumptions!$B$12)^(AB4-1)</f>
        <v/>
      </c>
      <c r="AC5" s="14">
        <f>(1+Assumptions!$B$12)^(AC4-1)</f>
        <v/>
      </c>
      <c r="AD5" s="14">
        <f>(1+Assumptions!$B$12)^(AD4-1)</f>
        <v/>
      </c>
      <c r="AE5" s="14">
        <f>(1+Assumptions!$B$12)^(AE4-1)</f>
        <v/>
      </c>
      <c r="AF5" s="14">
        <f>(1+Assumptions!$B$12)^(AF4-1)</f>
        <v/>
      </c>
      <c r="AG5" s="14">
        <f>(1+Assumptions!$B$12)^(AG4-1)</f>
        <v/>
      </c>
      <c r="AH5" s="14">
        <f>(1+Assumptions!$B$12)^(AH4-1)</f>
        <v/>
      </c>
      <c r="AI5" s="14">
        <f>(1+Assumptions!$B$12)^(AI4-1)</f>
        <v/>
      </c>
      <c r="AJ5" s="14">
        <f>(1+Assumptions!$B$12)^(AJ4-1)</f>
        <v/>
      </c>
      <c r="AK5" s="14">
        <f>(1+Assumptions!$B$12)^(AK4-1)</f>
        <v/>
      </c>
      <c r="AL5" s="14">
        <f>(1+Assumptions!$B$12)^(AL4-1)</f>
        <v/>
      </c>
      <c r="AM5" s="14">
        <f>(1+Assumptions!$B$12)^(AM4-1)</f>
        <v/>
      </c>
      <c r="AN5" s="14">
        <f>(1+Assumptions!$B$12)^(AN4-1)</f>
        <v/>
      </c>
      <c r="AO5" s="14">
        <f>(1+Assumptions!$B$12)^(AO4-1)</f>
        <v/>
      </c>
      <c r="AP5" s="14">
        <f>(1+Assumptions!$B$12)^(AP4-1)</f>
        <v/>
      </c>
      <c r="AQ5" s="14">
        <f>(1+Assumptions!$B$12)^(AQ4-1)</f>
        <v/>
      </c>
      <c r="AR5" s="14">
        <f>(1+Assumptions!$B$12)^(AR4-1)</f>
        <v/>
      </c>
      <c r="AS5" s="14">
        <f>(1+Assumptions!$B$12)^(AS4-1)</f>
        <v/>
      </c>
      <c r="AT5" s="14">
        <f>(1+Assumptions!$B$12)^(AT4-1)</f>
        <v/>
      </c>
      <c r="AU5" s="14">
        <f>(1+Assumptions!$B$12)^(AU4-1)</f>
        <v/>
      </c>
      <c r="AV5" s="14">
        <f>(1+Assumptions!$B$12)^(AV4-1)</f>
        <v/>
      </c>
      <c r="AW5" s="14">
        <f>(1+Assumptions!$B$12)^(AW4-1)</f>
        <v/>
      </c>
      <c r="AX5" s="14">
        <f>(1+Assumptions!$B$12)^(AX4-1)</f>
        <v/>
      </c>
      <c r="AY5" s="14">
        <f>(1+Assumptions!$B$12)^(AY4-1)</f>
        <v/>
      </c>
      <c r="AZ5" s="14">
        <f>(1+Assumptions!$B$12)^(AZ4-1)</f>
        <v/>
      </c>
      <c r="BA5" s="14">
        <f>(1+Assumptions!$B$12)^(BA4-1)</f>
        <v/>
      </c>
      <c r="BB5" s="14">
        <f>(1+Assumptions!$B$12)^(BB4-1)</f>
        <v/>
      </c>
      <c r="BC5" s="14">
        <f>(1+Assumptions!$B$12)^(BC4-1)</f>
        <v/>
      </c>
      <c r="BD5" s="14">
        <f>(1+Assumptions!$B$12)^(BD4-1)</f>
        <v/>
      </c>
      <c r="BE5" s="14">
        <f>(1+Assumptions!$B$12)^(BE4-1)</f>
        <v/>
      </c>
      <c r="BF5" s="14">
        <f>(1+Assumptions!$B$12)^(BF4-1)</f>
        <v/>
      </c>
      <c r="BG5" s="14">
        <f>(1+Assumptions!$B$12)^(BG4-1)</f>
        <v/>
      </c>
      <c r="BH5" s="14">
        <f>(1+Assumptions!$B$12)^(BH4-1)</f>
        <v/>
      </c>
      <c r="BI5" s="14">
        <f>(1+Assumptions!$B$12)^(BI4-1)</f>
        <v/>
      </c>
    </row>
    <row r="6">
      <c r="A6" s="4" t="inlineStr">
        <is>
          <t>Blended ARPU (Rs/mo)</t>
        </is>
      </c>
      <c r="B6" s="13">
        <f>Assumptions!$B$11*B5</f>
        <v/>
      </c>
      <c r="C6" s="13">
        <f>Assumptions!$B$11*C5</f>
        <v/>
      </c>
      <c r="D6" s="13">
        <f>Assumptions!$B$11*D5</f>
        <v/>
      </c>
      <c r="E6" s="13">
        <f>Assumptions!$B$11*E5</f>
        <v/>
      </c>
      <c r="F6" s="13">
        <f>Assumptions!$B$11*F5</f>
        <v/>
      </c>
      <c r="G6" s="13">
        <f>Assumptions!$B$11*G5</f>
        <v/>
      </c>
      <c r="H6" s="13">
        <f>Assumptions!$B$11*H5</f>
        <v/>
      </c>
      <c r="I6" s="13">
        <f>Assumptions!$B$11*I5</f>
        <v/>
      </c>
      <c r="J6" s="13">
        <f>Assumptions!$B$11*J5</f>
        <v/>
      </c>
      <c r="K6" s="13">
        <f>Assumptions!$B$11*K5</f>
        <v/>
      </c>
      <c r="L6" s="13">
        <f>Assumptions!$B$11*L5</f>
        <v/>
      </c>
      <c r="M6" s="13">
        <f>Assumptions!$B$11*M5</f>
        <v/>
      </c>
      <c r="N6" s="13">
        <f>Assumptions!$B$11*N5</f>
        <v/>
      </c>
      <c r="O6" s="13">
        <f>Assumptions!$B$11*O5</f>
        <v/>
      </c>
      <c r="P6" s="13">
        <f>Assumptions!$B$11*P5</f>
        <v/>
      </c>
      <c r="Q6" s="13">
        <f>Assumptions!$B$11*Q5</f>
        <v/>
      </c>
      <c r="R6" s="13">
        <f>Assumptions!$B$11*R5</f>
        <v/>
      </c>
      <c r="S6" s="13">
        <f>Assumptions!$B$11*S5</f>
        <v/>
      </c>
      <c r="T6" s="13">
        <f>Assumptions!$B$11*T5</f>
        <v/>
      </c>
      <c r="U6" s="13">
        <f>Assumptions!$B$11*U5</f>
        <v/>
      </c>
      <c r="V6" s="13">
        <f>Assumptions!$B$11*V5</f>
        <v/>
      </c>
      <c r="W6" s="13">
        <f>Assumptions!$B$11*W5</f>
        <v/>
      </c>
      <c r="X6" s="13">
        <f>Assumptions!$B$11*X5</f>
        <v/>
      </c>
      <c r="Y6" s="13">
        <f>Assumptions!$B$11*Y5</f>
        <v/>
      </c>
      <c r="Z6" s="13">
        <f>Assumptions!$B$11*Z5</f>
        <v/>
      </c>
      <c r="AA6" s="13">
        <f>Assumptions!$B$11*AA5</f>
        <v/>
      </c>
      <c r="AB6" s="13">
        <f>Assumptions!$B$11*AB5</f>
        <v/>
      </c>
      <c r="AC6" s="13">
        <f>Assumptions!$B$11*AC5</f>
        <v/>
      </c>
      <c r="AD6" s="13">
        <f>Assumptions!$B$11*AD5</f>
        <v/>
      </c>
      <c r="AE6" s="13">
        <f>Assumptions!$B$11*AE5</f>
        <v/>
      </c>
      <c r="AF6" s="13">
        <f>Assumptions!$B$11*AF5</f>
        <v/>
      </c>
      <c r="AG6" s="13">
        <f>Assumptions!$B$11*AG5</f>
        <v/>
      </c>
      <c r="AH6" s="13">
        <f>Assumptions!$B$11*AH5</f>
        <v/>
      </c>
      <c r="AI6" s="13">
        <f>Assumptions!$B$11*AI5</f>
        <v/>
      </c>
      <c r="AJ6" s="13">
        <f>Assumptions!$B$11*AJ5</f>
        <v/>
      </c>
      <c r="AK6" s="13">
        <f>Assumptions!$B$11*AK5</f>
        <v/>
      </c>
      <c r="AL6" s="13">
        <f>Assumptions!$B$11*AL5</f>
        <v/>
      </c>
      <c r="AM6" s="13">
        <f>Assumptions!$B$11*AM5</f>
        <v/>
      </c>
      <c r="AN6" s="13">
        <f>Assumptions!$B$11*AN5</f>
        <v/>
      </c>
      <c r="AO6" s="13">
        <f>Assumptions!$B$11*AO5</f>
        <v/>
      </c>
      <c r="AP6" s="13">
        <f>Assumptions!$B$11*AP5</f>
        <v/>
      </c>
      <c r="AQ6" s="13">
        <f>Assumptions!$B$11*AQ5</f>
        <v/>
      </c>
      <c r="AR6" s="13">
        <f>Assumptions!$B$11*AR5</f>
        <v/>
      </c>
      <c r="AS6" s="13">
        <f>Assumptions!$B$11*AS5</f>
        <v/>
      </c>
      <c r="AT6" s="13">
        <f>Assumptions!$B$11*AT5</f>
        <v/>
      </c>
      <c r="AU6" s="13">
        <f>Assumptions!$B$11*AU5</f>
        <v/>
      </c>
      <c r="AV6" s="13">
        <f>Assumptions!$B$11*AV5</f>
        <v/>
      </c>
      <c r="AW6" s="13">
        <f>Assumptions!$B$11*AW5</f>
        <v/>
      </c>
      <c r="AX6" s="13">
        <f>Assumptions!$B$11*AX5</f>
        <v/>
      </c>
      <c r="AY6" s="13">
        <f>Assumptions!$B$11*AY5</f>
        <v/>
      </c>
      <c r="AZ6" s="13">
        <f>Assumptions!$B$11*AZ5</f>
        <v/>
      </c>
      <c r="BA6" s="13">
        <f>Assumptions!$B$11*BA5</f>
        <v/>
      </c>
      <c r="BB6" s="13">
        <f>Assumptions!$B$11*BB5</f>
        <v/>
      </c>
      <c r="BC6" s="13">
        <f>Assumptions!$B$11*BC5</f>
        <v/>
      </c>
      <c r="BD6" s="13">
        <f>Assumptions!$B$11*BD5</f>
        <v/>
      </c>
      <c r="BE6" s="13">
        <f>Assumptions!$B$11*BE5</f>
        <v/>
      </c>
      <c r="BF6" s="13">
        <f>Assumptions!$B$11*BF5</f>
        <v/>
      </c>
      <c r="BG6" s="13">
        <f>Assumptions!$B$11*BG5</f>
        <v/>
      </c>
      <c r="BH6" s="13">
        <f>Assumptions!$B$11*BH5</f>
        <v/>
      </c>
      <c r="BI6" s="13">
        <f>Assumptions!$B$11*BI5</f>
        <v/>
      </c>
    </row>
    <row r="7">
      <c r="A7" s="4" t="inlineStr">
        <is>
          <t>Merchants — start</t>
        </is>
      </c>
      <c r="B7" s="13" t="n">
        <v>0</v>
      </c>
      <c r="C7" s="13">
        <f>B10</f>
        <v/>
      </c>
      <c r="D7" s="13">
        <f>C10</f>
        <v/>
      </c>
      <c r="E7" s="13">
        <f>D10</f>
        <v/>
      </c>
      <c r="F7" s="13">
        <f>E10</f>
        <v/>
      </c>
      <c r="G7" s="13">
        <f>F10</f>
        <v/>
      </c>
      <c r="H7" s="13">
        <f>G10</f>
        <v/>
      </c>
      <c r="I7" s="13">
        <f>H10</f>
        <v/>
      </c>
      <c r="J7" s="13">
        <f>I10</f>
        <v/>
      </c>
      <c r="K7" s="13">
        <f>J10</f>
        <v/>
      </c>
      <c r="L7" s="13">
        <f>K10</f>
        <v/>
      </c>
      <c r="M7" s="13">
        <f>L10</f>
        <v/>
      </c>
      <c r="N7" s="13">
        <f>M10</f>
        <v/>
      </c>
      <c r="O7" s="13">
        <f>N10</f>
        <v/>
      </c>
      <c r="P7" s="13">
        <f>O10</f>
        <v/>
      </c>
      <c r="Q7" s="13">
        <f>P10</f>
        <v/>
      </c>
      <c r="R7" s="13">
        <f>Q10</f>
        <v/>
      </c>
      <c r="S7" s="13">
        <f>R10</f>
        <v/>
      </c>
      <c r="T7" s="13">
        <f>S10</f>
        <v/>
      </c>
      <c r="U7" s="13">
        <f>T10</f>
        <v/>
      </c>
      <c r="V7" s="13">
        <f>U10</f>
        <v/>
      </c>
      <c r="W7" s="13">
        <f>V10</f>
        <v/>
      </c>
      <c r="X7" s="13">
        <f>W10</f>
        <v/>
      </c>
      <c r="Y7" s="13">
        <f>X10</f>
        <v/>
      </c>
      <c r="Z7" s="13">
        <f>Y10</f>
        <v/>
      </c>
      <c r="AA7" s="13">
        <f>Z10</f>
        <v/>
      </c>
      <c r="AB7" s="13">
        <f>AA10</f>
        <v/>
      </c>
      <c r="AC7" s="13">
        <f>AB10</f>
        <v/>
      </c>
      <c r="AD7" s="13">
        <f>AC10</f>
        <v/>
      </c>
      <c r="AE7" s="13">
        <f>AD10</f>
        <v/>
      </c>
      <c r="AF7" s="13">
        <f>AE10</f>
        <v/>
      </c>
      <c r="AG7" s="13">
        <f>AF10</f>
        <v/>
      </c>
      <c r="AH7" s="13">
        <f>AG10</f>
        <v/>
      </c>
      <c r="AI7" s="13">
        <f>AH10</f>
        <v/>
      </c>
      <c r="AJ7" s="13">
        <f>AI10</f>
        <v/>
      </c>
      <c r="AK7" s="13">
        <f>AJ10</f>
        <v/>
      </c>
      <c r="AL7" s="13">
        <f>AK10</f>
        <v/>
      </c>
      <c r="AM7" s="13">
        <f>AL10</f>
        <v/>
      </c>
      <c r="AN7" s="13">
        <f>AM10</f>
        <v/>
      </c>
      <c r="AO7" s="13">
        <f>AN10</f>
        <v/>
      </c>
      <c r="AP7" s="13">
        <f>AO10</f>
        <v/>
      </c>
      <c r="AQ7" s="13">
        <f>AP10</f>
        <v/>
      </c>
      <c r="AR7" s="13">
        <f>AQ10</f>
        <v/>
      </c>
      <c r="AS7" s="13">
        <f>AR10</f>
        <v/>
      </c>
      <c r="AT7" s="13">
        <f>AS10</f>
        <v/>
      </c>
      <c r="AU7" s="13">
        <f>AT10</f>
        <v/>
      </c>
      <c r="AV7" s="13">
        <f>AU10</f>
        <v/>
      </c>
      <c r="AW7" s="13">
        <f>AV10</f>
        <v/>
      </c>
      <c r="AX7" s="13">
        <f>AW10</f>
        <v/>
      </c>
      <c r="AY7" s="13">
        <f>AX10</f>
        <v/>
      </c>
      <c r="AZ7" s="13">
        <f>AY10</f>
        <v/>
      </c>
      <c r="BA7" s="13">
        <f>AZ10</f>
        <v/>
      </c>
      <c r="BB7" s="13">
        <f>BA10</f>
        <v/>
      </c>
      <c r="BC7" s="13">
        <f>BB10</f>
        <v/>
      </c>
      <c r="BD7" s="13">
        <f>BC10</f>
        <v/>
      </c>
      <c r="BE7" s="13">
        <f>BD10</f>
        <v/>
      </c>
      <c r="BF7" s="13">
        <f>BE10</f>
        <v/>
      </c>
      <c r="BG7" s="13">
        <f>BF10</f>
        <v/>
      </c>
      <c r="BH7" s="13">
        <f>BG10</f>
        <v/>
      </c>
      <c r="BI7" s="13">
        <f>BH10</f>
        <v/>
      </c>
    </row>
    <row r="8">
      <c r="A8" s="4" t="inlineStr">
        <is>
          <t>New merchants</t>
        </is>
      </c>
      <c r="B8" s="13">
        <f>INDEX(Assumptions!$C$16:$G$16,1,B4)</f>
        <v/>
      </c>
      <c r="C8" s="13">
        <f>INDEX(Assumptions!$C$16:$G$16,1,C4)</f>
        <v/>
      </c>
      <c r="D8" s="13">
        <f>INDEX(Assumptions!$C$16:$G$16,1,D4)</f>
        <v/>
      </c>
      <c r="E8" s="13">
        <f>INDEX(Assumptions!$C$16:$G$16,1,E4)</f>
        <v/>
      </c>
      <c r="F8" s="13">
        <f>INDEX(Assumptions!$C$16:$G$16,1,F4)</f>
        <v/>
      </c>
      <c r="G8" s="13">
        <f>INDEX(Assumptions!$C$16:$G$16,1,G4)</f>
        <v/>
      </c>
      <c r="H8" s="13">
        <f>INDEX(Assumptions!$C$16:$G$16,1,H4)</f>
        <v/>
      </c>
      <c r="I8" s="13">
        <f>INDEX(Assumptions!$C$16:$G$16,1,I4)</f>
        <v/>
      </c>
      <c r="J8" s="13">
        <f>INDEX(Assumptions!$C$16:$G$16,1,J4)</f>
        <v/>
      </c>
      <c r="K8" s="13">
        <f>INDEX(Assumptions!$C$16:$G$16,1,K4)</f>
        <v/>
      </c>
      <c r="L8" s="13">
        <f>INDEX(Assumptions!$C$16:$G$16,1,L4)</f>
        <v/>
      </c>
      <c r="M8" s="13">
        <f>INDEX(Assumptions!$C$16:$G$16,1,M4)</f>
        <v/>
      </c>
      <c r="N8" s="13">
        <f>INDEX(Assumptions!$C$16:$G$16,1,N4)</f>
        <v/>
      </c>
      <c r="O8" s="13">
        <f>INDEX(Assumptions!$C$16:$G$16,1,O4)</f>
        <v/>
      </c>
      <c r="P8" s="13">
        <f>INDEX(Assumptions!$C$16:$G$16,1,P4)</f>
        <v/>
      </c>
      <c r="Q8" s="13">
        <f>INDEX(Assumptions!$C$16:$G$16,1,Q4)</f>
        <v/>
      </c>
      <c r="R8" s="13">
        <f>INDEX(Assumptions!$C$16:$G$16,1,R4)</f>
        <v/>
      </c>
      <c r="S8" s="13">
        <f>INDEX(Assumptions!$C$16:$G$16,1,S4)</f>
        <v/>
      </c>
      <c r="T8" s="13">
        <f>INDEX(Assumptions!$C$16:$G$16,1,T4)</f>
        <v/>
      </c>
      <c r="U8" s="13">
        <f>INDEX(Assumptions!$C$16:$G$16,1,U4)</f>
        <v/>
      </c>
      <c r="V8" s="13">
        <f>INDEX(Assumptions!$C$16:$G$16,1,V4)</f>
        <v/>
      </c>
      <c r="W8" s="13">
        <f>INDEX(Assumptions!$C$16:$G$16,1,W4)</f>
        <v/>
      </c>
      <c r="X8" s="13">
        <f>INDEX(Assumptions!$C$16:$G$16,1,X4)</f>
        <v/>
      </c>
      <c r="Y8" s="13">
        <f>INDEX(Assumptions!$C$16:$G$16,1,Y4)</f>
        <v/>
      </c>
      <c r="Z8" s="13">
        <f>INDEX(Assumptions!$C$16:$G$16,1,Z4)</f>
        <v/>
      </c>
      <c r="AA8" s="13">
        <f>INDEX(Assumptions!$C$16:$G$16,1,AA4)</f>
        <v/>
      </c>
      <c r="AB8" s="13">
        <f>INDEX(Assumptions!$C$16:$G$16,1,AB4)</f>
        <v/>
      </c>
      <c r="AC8" s="13">
        <f>INDEX(Assumptions!$C$16:$G$16,1,AC4)</f>
        <v/>
      </c>
      <c r="AD8" s="13">
        <f>INDEX(Assumptions!$C$16:$G$16,1,AD4)</f>
        <v/>
      </c>
      <c r="AE8" s="13">
        <f>INDEX(Assumptions!$C$16:$G$16,1,AE4)</f>
        <v/>
      </c>
      <c r="AF8" s="13">
        <f>INDEX(Assumptions!$C$16:$G$16,1,AF4)</f>
        <v/>
      </c>
      <c r="AG8" s="13">
        <f>INDEX(Assumptions!$C$16:$G$16,1,AG4)</f>
        <v/>
      </c>
      <c r="AH8" s="13">
        <f>INDEX(Assumptions!$C$16:$G$16,1,AH4)</f>
        <v/>
      </c>
      <c r="AI8" s="13">
        <f>INDEX(Assumptions!$C$16:$G$16,1,AI4)</f>
        <v/>
      </c>
      <c r="AJ8" s="13">
        <f>INDEX(Assumptions!$C$16:$G$16,1,AJ4)</f>
        <v/>
      </c>
      <c r="AK8" s="13">
        <f>INDEX(Assumptions!$C$16:$G$16,1,AK4)</f>
        <v/>
      </c>
      <c r="AL8" s="13">
        <f>INDEX(Assumptions!$C$16:$G$16,1,AL4)</f>
        <v/>
      </c>
      <c r="AM8" s="13">
        <f>INDEX(Assumptions!$C$16:$G$16,1,AM4)</f>
        <v/>
      </c>
      <c r="AN8" s="13">
        <f>INDEX(Assumptions!$C$16:$G$16,1,AN4)</f>
        <v/>
      </c>
      <c r="AO8" s="13">
        <f>INDEX(Assumptions!$C$16:$G$16,1,AO4)</f>
        <v/>
      </c>
      <c r="AP8" s="13">
        <f>INDEX(Assumptions!$C$16:$G$16,1,AP4)</f>
        <v/>
      </c>
      <c r="AQ8" s="13">
        <f>INDEX(Assumptions!$C$16:$G$16,1,AQ4)</f>
        <v/>
      </c>
      <c r="AR8" s="13">
        <f>INDEX(Assumptions!$C$16:$G$16,1,AR4)</f>
        <v/>
      </c>
      <c r="AS8" s="13">
        <f>INDEX(Assumptions!$C$16:$G$16,1,AS4)</f>
        <v/>
      </c>
      <c r="AT8" s="13">
        <f>INDEX(Assumptions!$C$16:$G$16,1,AT4)</f>
        <v/>
      </c>
      <c r="AU8" s="13">
        <f>INDEX(Assumptions!$C$16:$G$16,1,AU4)</f>
        <v/>
      </c>
      <c r="AV8" s="13">
        <f>INDEX(Assumptions!$C$16:$G$16,1,AV4)</f>
        <v/>
      </c>
      <c r="AW8" s="13">
        <f>INDEX(Assumptions!$C$16:$G$16,1,AW4)</f>
        <v/>
      </c>
      <c r="AX8" s="13">
        <f>INDEX(Assumptions!$C$16:$G$16,1,AX4)</f>
        <v/>
      </c>
      <c r="AY8" s="13">
        <f>INDEX(Assumptions!$C$16:$G$16,1,AY4)</f>
        <v/>
      </c>
      <c r="AZ8" s="13">
        <f>INDEX(Assumptions!$C$16:$G$16,1,AZ4)</f>
        <v/>
      </c>
      <c r="BA8" s="13">
        <f>INDEX(Assumptions!$C$16:$G$16,1,BA4)</f>
        <v/>
      </c>
      <c r="BB8" s="13">
        <f>INDEX(Assumptions!$C$16:$G$16,1,BB4)</f>
        <v/>
      </c>
      <c r="BC8" s="13">
        <f>INDEX(Assumptions!$C$16:$G$16,1,BC4)</f>
        <v/>
      </c>
      <c r="BD8" s="13">
        <f>INDEX(Assumptions!$C$16:$G$16,1,BD4)</f>
        <v/>
      </c>
      <c r="BE8" s="13">
        <f>INDEX(Assumptions!$C$16:$G$16,1,BE4)</f>
        <v/>
      </c>
      <c r="BF8" s="13">
        <f>INDEX(Assumptions!$C$16:$G$16,1,BF4)</f>
        <v/>
      </c>
      <c r="BG8" s="13">
        <f>INDEX(Assumptions!$C$16:$G$16,1,BG4)</f>
        <v/>
      </c>
      <c r="BH8" s="13">
        <f>INDEX(Assumptions!$C$16:$G$16,1,BH4)</f>
        <v/>
      </c>
      <c r="BI8" s="13">
        <f>INDEX(Assumptions!$C$16:$G$16,1,BI4)</f>
        <v/>
      </c>
    </row>
    <row r="9">
      <c r="A9" s="4" t="inlineStr">
        <is>
          <t>Churned</t>
        </is>
      </c>
      <c r="B9" s="13">
        <f>B7*Assumptions!$B$17</f>
        <v/>
      </c>
      <c r="C9" s="13">
        <f>C7*Assumptions!$B$17</f>
        <v/>
      </c>
      <c r="D9" s="13">
        <f>D7*Assumptions!$B$17</f>
        <v/>
      </c>
      <c r="E9" s="13">
        <f>E7*Assumptions!$B$17</f>
        <v/>
      </c>
      <c r="F9" s="13">
        <f>F7*Assumptions!$B$17</f>
        <v/>
      </c>
      <c r="G9" s="13">
        <f>G7*Assumptions!$B$17</f>
        <v/>
      </c>
      <c r="H9" s="13">
        <f>H7*Assumptions!$B$17</f>
        <v/>
      </c>
      <c r="I9" s="13">
        <f>I7*Assumptions!$B$17</f>
        <v/>
      </c>
      <c r="J9" s="13">
        <f>J7*Assumptions!$B$17</f>
        <v/>
      </c>
      <c r="K9" s="13">
        <f>K7*Assumptions!$B$17</f>
        <v/>
      </c>
      <c r="L9" s="13">
        <f>L7*Assumptions!$B$17</f>
        <v/>
      </c>
      <c r="M9" s="13">
        <f>M7*Assumptions!$B$17</f>
        <v/>
      </c>
      <c r="N9" s="13">
        <f>N7*Assumptions!$B$17</f>
        <v/>
      </c>
      <c r="O9" s="13">
        <f>O7*Assumptions!$B$17</f>
        <v/>
      </c>
      <c r="P9" s="13">
        <f>P7*Assumptions!$B$17</f>
        <v/>
      </c>
      <c r="Q9" s="13">
        <f>Q7*Assumptions!$B$17</f>
        <v/>
      </c>
      <c r="R9" s="13">
        <f>R7*Assumptions!$B$17</f>
        <v/>
      </c>
      <c r="S9" s="13">
        <f>S7*Assumptions!$B$17</f>
        <v/>
      </c>
      <c r="T9" s="13">
        <f>T7*Assumptions!$B$17</f>
        <v/>
      </c>
      <c r="U9" s="13">
        <f>U7*Assumptions!$B$17</f>
        <v/>
      </c>
      <c r="V9" s="13">
        <f>V7*Assumptions!$B$17</f>
        <v/>
      </c>
      <c r="W9" s="13">
        <f>W7*Assumptions!$B$17</f>
        <v/>
      </c>
      <c r="X9" s="13">
        <f>X7*Assumptions!$B$17</f>
        <v/>
      </c>
      <c r="Y9" s="13">
        <f>Y7*Assumptions!$B$17</f>
        <v/>
      </c>
      <c r="Z9" s="13">
        <f>Z7*Assumptions!$B$17</f>
        <v/>
      </c>
      <c r="AA9" s="13">
        <f>AA7*Assumptions!$B$17</f>
        <v/>
      </c>
      <c r="AB9" s="13">
        <f>AB7*Assumptions!$B$17</f>
        <v/>
      </c>
      <c r="AC9" s="13">
        <f>AC7*Assumptions!$B$17</f>
        <v/>
      </c>
      <c r="AD9" s="13">
        <f>AD7*Assumptions!$B$17</f>
        <v/>
      </c>
      <c r="AE9" s="13">
        <f>AE7*Assumptions!$B$17</f>
        <v/>
      </c>
      <c r="AF9" s="13">
        <f>AF7*Assumptions!$B$17</f>
        <v/>
      </c>
      <c r="AG9" s="13">
        <f>AG7*Assumptions!$B$17</f>
        <v/>
      </c>
      <c r="AH9" s="13">
        <f>AH7*Assumptions!$B$17</f>
        <v/>
      </c>
      <c r="AI9" s="13">
        <f>AI7*Assumptions!$B$17</f>
        <v/>
      </c>
      <c r="AJ9" s="13">
        <f>AJ7*Assumptions!$B$17</f>
        <v/>
      </c>
      <c r="AK9" s="13">
        <f>AK7*Assumptions!$B$17</f>
        <v/>
      </c>
      <c r="AL9" s="13">
        <f>AL7*Assumptions!$B$17</f>
        <v/>
      </c>
      <c r="AM9" s="13">
        <f>AM7*Assumptions!$B$17</f>
        <v/>
      </c>
      <c r="AN9" s="13">
        <f>AN7*Assumptions!$B$17</f>
        <v/>
      </c>
      <c r="AO9" s="13">
        <f>AO7*Assumptions!$B$17</f>
        <v/>
      </c>
      <c r="AP9" s="13">
        <f>AP7*Assumptions!$B$17</f>
        <v/>
      </c>
      <c r="AQ9" s="13">
        <f>AQ7*Assumptions!$B$17</f>
        <v/>
      </c>
      <c r="AR9" s="13">
        <f>AR7*Assumptions!$B$17</f>
        <v/>
      </c>
      <c r="AS9" s="13">
        <f>AS7*Assumptions!$B$17</f>
        <v/>
      </c>
      <c r="AT9" s="13">
        <f>AT7*Assumptions!$B$17</f>
        <v/>
      </c>
      <c r="AU9" s="13">
        <f>AU7*Assumptions!$B$17</f>
        <v/>
      </c>
      <c r="AV9" s="13">
        <f>AV7*Assumptions!$B$17</f>
        <v/>
      </c>
      <c r="AW9" s="13">
        <f>AW7*Assumptions!$B$17</f>
        <v/>
      </c>
      <c r="AX9" s="13">
        <f>AX7*Assumptions!$B$17</f>
        <v/>
      </c>
      <c r="AY9" s="13">
        <f>AY7*Assumptions!$B$17</f>
        <v/>
      </c>
      <c r="AZ9" s="13">
        <f>AZ7*Assumptions!$B$17</f>
        <v/>
      </c>
      <c r="BA9" s="13">
        <f>BA7*Assumptions!$B$17</f>
        <v/>
      </c>
      <c r="BB9" s="13">
        <f>BB7*Assumptions!$B$17</f>
        <v/>
      </c>
      <c r="BC9" s="13">
        <f>BC7*Assumptions!$B$17</f>
        <v/>
      </c>
      <c r="BD9" s="13">
        <f>BD7*Assumptions!$B$17</f>
        <v/>
      </c>
      <c r="BE9" s="13">
        <f>BE7*Assumptions!$B$17</f>
        <v/>
      </c>
      <c r="BF9" s="13">
        <f>BF7*Assumptions!$B$17</f>
        <v/>
      </c>
      <c r="BG9" s="13">
        <f>BG7*Assumptions!$B$17</f>
        <v/>
      </c>
      <c r="BH9" s="13">
        <f>BH7*Assumptions!$B$17</f>
        <v/>
      </c>
      <c r="BI9" s="13">
        <f>BI7*Assumptions!$B$17</f>
        <v/>
      </c>
    </row>
    <row r="10">
      <c r="A10" s="4" t="inlineStr">
        <is>
          <t>Merchants — end</t>
        </is>
      </c>
      <c r="B10" s="13">
        <f>B7+B8-B9</f>
        <v/>
      </c>
      <c r="C10" s="13">
        <f>C7+C8-C9</f>
        <v/>
      </c>
      <c r="D10" s="13">
        <f>D7+D8-D9</f>
        <v/>
      </c>
      <c r="E10" s="13">
        <f>E7+E8-E9</f>
        <v/>
      </c>
      <c r="F10" s="13">
        <f>F7+F8-F9</f>
        <v/>
      </c>
      <c r="G10" s="13">
        <f>G7+G8-G9</f>
        <v/>
      </c>
      <c r="H10" s="13">
        <f>H7+H8-H9</f>
        <v/>
      </c>
      <c r="I10" s="13">
        <f>I7+I8-I9</f>
        <v/>
      </c>
      <c r="J10" s="13">
        <f>J7+J8-J9</f>
        <v/>
      </c>
      <c r="K10" s="13">
        <f>K7+K8-K9</f>
        <v/>
      </c>
      <c r="L10" s="13">
        <f>L7+L8-L9</f>
        <v/>
      </c>
      <c r="M10" s="13">
        <f>M7+M8-M9</f>
        <v/>
      </c>
      <c r="N10" s="13">
        <f>N7+N8-N9</f>
        <v/>
      </c>
      <c r="O10" s="13">
        <f>O7+O8-O9</f>
        <v/>
      </c>
      <c r="P10" s="13">
        <f>P7+P8-P9</f>
        <v/>
      </c>
      <c r="Q10" s="13">
        <f>Q7+Q8-Q9</f>
        <v/>
      </c>
      <c r="R10" s="13">
        <f>R7+R8-R9</f>
        <v/>
      </c>
      <c r="S10" s="13">
        <f>S7+S8-S9</f>
        <v/>
      </c>
      <c r="T10" s="13">
        <f>T7+T8-T9</f>
        <v/>
      </c>
      <c r="U10" s="13">
        <f>U7+U8-U9</f>
        <v/>
      </c>
      <c r="V10" s="13">
        <f>V7+V8-V9</f>
        <v/>
      </c>
      <c r="W10" s="13">
        <f>W7+W8-W9</f>
        <v/>
      </c>
      <c r="X10" s="13">
        <f>X7+X8-X9</f>
        <v/>
      </c>
      <c r="Y10" s="13">
        <f>Y7+Y8-Y9</f>
        <v/>
      </c>
      <c r="Z10" s="13">
        <f>Z7+Z8-Z9</f>
        <v/>
      </c>
      <c r="AA10" s="13">
        <f>AA7+AA8-AA9</f>
        <v/>
      </c>
      <c r="AB10" s="13">
        <f>AB7+AB8-AB9</f>
        <v/>
      </c>
      <c r="AC10" s="13">
        <f>AC7+AC8-AC9</f>
        <v/>
      </c>
      <c r="AD10" s="13">
        <f>AD7+AD8-AD9</f>
        <v/>
      </c>
      <c r="AE10" s="13">
        <f>AE7+AE8-AE9</f>
        <v/>
      </c>
      <c r="AF10" s="13">
        <f>AF7+AF8-AF9</f>
        <v/>
      </c>
      <c r="AG10" s="13">
        <f>AG7+AG8-AG9</f>
        <v/>
      </c>
      <c r="AH10" s="13">
        <f>AH7+AH8-AH9</f>
        <v/>
      </c>
      <c r="AI10" s="13">
        <f>AI7+AI8-AI9</f>
        <v/>
      </c>
      <c r="AJ10" s="13">
        <f>AJ7+AJ8-AJ9</f>
        <v/>
      </c>
      <c r="AK10" s="13">
        <f>AK7+AK8-AK9</f>
        <v/>
      </c>
      <c r="AL10" s="13">
        <f>AL7+AL8-AL9</f>
        <v/>
      </c>
      <c r="AM10" s="13">
        <f>AM7+AM8-AM9</f>
        <v/>
      </c>
      <c r="AN10" s="13">
        <f>AN7+AN8-AN9</f>
        <v/>
      </c>
      <c r="AO10" s="13">
        <f>AO7+AO8-AO9</f>
        <v/>
      </c>
      <c r="AP10" s="13">
        <f>AP7+AP8-AP9</f>
        <v/>
      </c>
      <c r="AQ10" s="13">
        <f>AQ7+AQ8-AQ9</f>
        <v/>
      </c>
      <c r="AR10" s="13">
        <f>AR7+AR8-AR9</f>
        <v/>
      </c>
      <c r="AS10" s="13">
        <f>AS7+AS8-AS9</f>
        <v/>
      </c>
      <c r="AT10" s="13">
        <f>AT7+AT8-AT9</f>
        <v/>
      </c>
      <c r="AU10" s="13">
        <f>AU7+AU8-AU9</f>
        <v/>
      </c>
      <c r="AV10" s="13">
        <f>AV7+AV8-AV9</f>
        <v/>
      </c>
      <c r="AW10" s="13">
        <f>AW7+AW8-AW9</f>
        <v/>
      </c>
      <c r="AX10" s="13">
        <f>AX7+AX8-AX9</f>
        <v/>
      </c>
      <c r="AY10" s="13">
        <f>AY7+AY8-AY9</f>
        <v/>
      </c>
      <c r="AZ10" s="13">
        <f>AZ7+AZ8-AZ9</f>
        <v/>
      </c>
      <c r="BA10" s="13">
        <f>BA7+BA8-BA9</f>
        <v/>
      </c>
      <c r="BB10" s="13">
        <f>BB7+BB8-BB9</f>
        <v/>
      </c>
      <c r="BC10" s="13">
        <f>BC7+BC8-BC9</f>
        <v/>
      </c>
      <c r="BD10" s="13">
        <f>BD7+BD8-BD9</f>
        <v/>
      </c>
      <c r="BE10" s="13">
        <f>BE7+BE8-BE9</f>
        <v/>
      </c>
      <c r="BF10" s="13">
        <f>BF7+BF8-BF9</f>
        <v/>
      </c>
      <c r="BG10" s="13">
        <f>BG7+BG8-BG9</f>
        <v/>
      </c>
      <c r="BH10" s="13">
        <f>BH7+BH8-BH9</f>
        <v/>
      </c>
      <c r="BI10" s="13">
        <f>BI7+BI8-BI9</f>
        <v/>
      </c>
    </row>
    <row r="11">
      <c r="A11" s="4" t="inlineStr">
        <is>
          <t>Average active</t>
        </is>
      </c>
      <c r="B11" s="13">
        <f>(B7+B10)/2</f>
        <v/>
      </c>
      <c r="C11" s="13">
        <f>(C7+C10)/2</f>
        <v/>
      </c>
      <c r="D11" s="13">
        <f>(D7+D10)/2</f>
        <v/>
      </c>
      <c r="E11" s="13">
        <f>(E7+E10)/2</f>
        <v/>
      </c>
      <c r="F11" s="13">
        <f>(F7+F10)/2</f>
        <v/>
      </c>
      <c r="G11" s="13">
        <f>(G7+G10)/2</f>
        <v/>
      </c>
      <c r="H11" s="13">
        <f>(H7+H10)/2</f>
        <v/>
      </c>
      <c r="I11" s="13">
        <f>(I7+I10)/2</f>
        <v/>
      </c>
      <c r="J11" s="13">
        <f>(J7+J10)/2</f>
        <v/>
      </c>
      <c r="K11" s="13">
        <f>(K7+K10)/2</f>
        <v/>
      </c>
      <c r="L11" s="13">
        <f>(L7+L10)/2</f>
        <v/>
      </c>
      <c r="M11" s="13">
        <f>(M7+M10)/2</f>
        <v/>
      </c>
      <c r="N11" s="13">
        <f>(N7+N10)/2</f>
        <v/>
      </c>
      <c r="O11" s="13">
        <f>(O7+O10)/2</f>
        <v/>
      </c>
      <c r="P11" s="13">
        <f>(P7+P10)/2</f>
        <v/>
      </c>
      <c r="Q11" s="13">
        <f>(Q7+Q10)/2</f>
        <v/>
      </c>
      <c r="R11" s="13">
        <f>(R7+R10)/2</f>
        <v/>
      </c>
      <c r="S11" s="13">
        <f>(S7+S10)/2</f>
        <v/>
      </c>
      <c r="T11" s="13">
        <f>(T7+T10)/2</f>
        <v/>
      </c>
      <c r="U11" s="13">
        <f>(U7+U10)/2</f>
        <v/>
      </c>
      <c r="V11" s="13">
        <f>(V7+V10)/2</f>
        <v/>
      </c>
      <c r="W11" s="13">
        <f>(W7+W10)/2</f>
        <v/>
      </c>
      <c r="X11" s="13">
        <f>(X7+X10)/2</f>
        <v/>
      </c>
      <c r="Y11" s="13">
        <f>(Y7+Y10)/2</f>
        <v/>
      </c>
      <c r="Z11" s="13">
        <f>(Z7+Z10)/2</f>
        <v/>
      </c>
      <c r="AA11" s="13">
        <f>(AA7+AA10)/2</f>
        <v/>
      </c>
      <c r="AB11" s="13">
        <f>(AB7+AB10)/2</f>
        <v/>
      </c>
      <c r="AC11" s="13">
        <f>(AC7+AC10)/2</f>
        <v/>
      </c>
      <c r="AD11" s="13">
        <f>(AD7+AD10)/2</f>
        <v/>
      </c>
      <c r="AE11" s="13">
        <f>(AE7+AE10)/2</f>
        <v/>
      </c>
      <c r="AF11" s="13">
        <f>(AF7+AF10)/2</f>
        <v/>
      </c>
      <c r="AG11" s="13">
        <f>(AG7+AG10)/2</f>
        <v/>
      </c>
      <c r="AH11" s="13">
        <f>(AH7+AH10)/2</f>
        <v/>
      </c>
      <c r="AI11" s="13">
        <f>(AI7+AI10)/2</f>
        <v/>
      </c>
      <c r="AJ11" s="13">
        <f>(AJ7+AJ10)/2</f>
        <v/>
      </c>
      <c r="AK11" s="13">
        <f>(AK7+AK10)/2</f>
        <v/>
      </c>
      <c r="AL11" s="13">
        <f>(AL7+AL10)/2</f>
        <v/>
      </c>
      <c r="AM11" s="13">
        <f>(AM7+AM10)/2</f>
        <v/>
      </c>
      <c r="AN11" s="13">
        <f>(AN7+AN10)/2</f>
        <v/>
      </c>
      <c r="AO11" s="13">
        <f>(AO7+AO10)/2</f>
        <v/>
      </c>
      <c r="AP11" s="13">
        <f>(AP7+AP10)/2</f>
        <v/>
      </c>
      <c r="AQ11" s="13">
        <f>(AQ7+AQ10)/2</f>
        <v/>
      </c>
      <c r="AR11" s="13">
        <f>(AR7+AR10)/2</f>
        <v/>
      </c>
      <c r="AS11" s="13">
        <f>(AS7+AS10)/2</f>
        <v/>
      </c>
      <c r="AT11" s="13">
        <f>(AT7+AT10)/2</f>
        <v/>
      </c>
      <c r="AU11" s="13">
        <f>(AU7+AU10)/2</f>
        <v/>
      </c>
      <c r="AV11" s="13">
        <f>(AV7+AV10)/2</f>
        <v/>
      </c>
      <c r="AW11" s="13">
        <f>(AW7+AW10)/2</f>
        <v/>
      </c>
      <c r="AX11" s="13">
        <f>(AX7+AX10)/2</f>
        <v/>
      </c>
      <c r="AY11" s="13">
        <f>(AY7+AY10)/2</f>
        <v/>
      </c>
      <c r="AZ11" s="13">
        <f>(AZ7+AZ10)/2</f>
        <v/>
      </c>
      <c r="BA11" s="13">
        <f>(BA7+BA10)/2</f>
        <v/>
      </c>
      <c r="BB11" s="13">
        <f>(BB7+BB10)/2</f>
        <v/>
      </c>
      <c r="BC11" s="13">
        <f>(BC7+BC10)/2</f>
        <v/>
      </c>
      <c r="BD11" s="13">
        <f>(BD7+BD10)/2</f>
        <v/>
      </c>
      <c r="BE11" s="13">
        <f>(BE7+BE10)/2</f>
        <v/>
      </c>
      <c r="BF11" s="13">
        <f>(BF7+BF10)/2</f>
        <v/>
      </c>
      <c r="BG11" s="13">
        <f>(BG7+BG10)/2</f>
        <v/>
      </c>
      <c r="BH11" s="13">
        <f>(BH7+BH10)/2</f>
        <v/>
      </c>
      <c r="BI11" s="13">
        <f>(BI7+BI10)/2</f>
        <v/>
      </c>
    </row>
    <row r="12">
      <c r="A12" s="4" t="inlineStr">
        <is>
          <t>Subscription revenue (Rs)</t>
        </is>
      </c>
      <c r="B12" s="7">
        <f>B11*B6</f>
        <v/>
      </c>
      <c r="C12" s="7">
        <f>C11*C6</f>
        <v/>
      </c>
      <c r="D12" s="7">
        <f>D11*D6</f>
        <v/>
      </c>
      <c r="E12" s="7">
        <f>E11*E6</f>
        <v/>
      </c>
      <c r="F12" s="7">
        <f>F11*F6</f>
        <v/>
      </c>
      <c r="G12" s="7">
        <f>G11*G6</f>
        <v/>
      </c>
      <c r="H12" s="7">
        <f>H11*H6</f>
        <v/>
      </c>
      <c r="I12" s="7">
        <f>I11*I6</f>
        <v/>
      </c>
      <c r="J12" s="7">
        <f>J11*J6</f>
        <v/>
      </c>
      <c r="K12" s="7">
        <f>K11*K6</f>
        <v/>
      </c>
      <c r="L12" s="7">
        <f>L11*L6</f>
        <v/>
      </c>
      <c r="M12" s="7">
        <f>M11*M6</f>
        <v/>
      </c>
      <c r="N12" s="7">
        <f>N11*N6</f>
        <v/>
      </c>
      <c r="O12" s="7">
        <f>O11*O6</f>
        <v/>
      </c>
      <c r="P12" s="7">
        <f>P11*P6</f>
        <v/>
      </c>
      <c r="Q12" s="7">
        <f>Q11*Q6</f>
        <v/>
      </c>
      <c r="R12" s="7">
        <f>R11*R6</f>
        <v/>
      </c>
      <c r="S12" s="7">
        <f>S11*S6</f>
        <v/>
      </c>
      <c r="T12" s="7">
        <f>T11*T6</f>
        <v/>
      </c>
      <c r="U12" s="7">
        <f>U11*U6</f>
        <v/>
      </c>
      <c r="V12" s="7">
        <f>V11*V6</f>
        <v/>
      </c>
      <c r="W12" s="7">
        <f>W11*W6</f>
        <v/>
      </c>
      <c r="X12" s="7">
        <f>X11*X6</f>
        <v/>
      </c>
      <c r="Y12" s="7">
        <f>Y11*Y6</f>
        <v/>
      </c>
      <c r="Z12" s="7">
        <f>Z11*Z6</f>
        <v/>
      </c>
      <c r="AA12" s="7">
        <f>AA11*AA6</f>
        <v/>
      </c>
      <c r="AB12" s="7">
        <f>AB11*AB6</f>
        <v/>
      </c>
      <c r="AC12" s="7">
        <f>AC11*AC6</f>
        <v/>
      </c>
      <c r="AD12" s="7">
        <f>AD11*AD6</f>
        <v/>
      </c>
      <c r="AE12" s="7">
        <f>AE11*AE6</f>
        <v/>
      </c>
      <c r="AF12" s="7">
        <f>AF11*AF6</f>
        <v/>
      </c>
      <c r="AG12" s="7">
        <f>AG11*AG6</f>
        <v/>
      </c>
      <c r="AH12" s="7">
        <f>AH11*AH6</f>
        <v/>
      </c>
      <c r="AI12" s="7">
        <f>AI11*AI6</f>
        <v/>
      </c>
      <c r="AJ12" s="7">
        <f>AJ11*AJ6</f>
        <v/>
      </c>
      <c r="AK12" s="7">
        <f>AK11*AK6</f>
        <v/>
      </c>
      <c r="AL12" s="7">
        <f>AL11*AL6</f>
        <v/>
      </c>
      <c r="AM12" s="7">
        <f>AM11*AM6</f>
        <v/>
      </c>
      <c r="AN12" s="7">
        <f>AN11*AN6</f>
        <v/>
      </c>
      <c r="AO12" s="7">
        <f>AO11*AO6</f>
        <v/>
      </c>
      <c r="AP12" s="7">
        <f>AP11*AP6</f>
        <v/>
      </c>
      <c r="AQ12" s="7">
        <f>AQ11*AQ6</f>
        <v/>
      </c>
      <c r="AR12" s="7">
        <f>AR11*AR6</f>
        <v/>
      </c>
      <c r="AS12" s="7">
        <f>AS11*AS6</f>
        <v/>
      </c>
      <c r="AT12" s="7">
        <f>AT11*AT6</f>
        <v/>
      </c>
      <c r="AU12" s="7">
        <f>AU11*AU6</f>
        <v/>
      </c>
      <c r="AV12" s="7">
        <f>AV11*AV6</f>
        <v/>
      </c>
      <c r="AW12" s="7">
        <f>AW11*AW6</f>
        <v/>
      </c>
      <c r="AX12" s="7">
        <f>AX11*AX6</f>
        <v/>
      </c>
      <c r="AY12" s="7">
        <f>AY11*AY6</f>
        <v/>
      </c>
      <c r="AZ12" s="7">
        <f>AZ11*AZ6</f>
        <v/>
      </c>
      <c r="BA12" s="7">
        <f>BA11*BA6</f>
        <v/>
      </c>
      <c r="BB12" s="7">
        <f>BB11*BB6</f>
        <v/>
      </c>
      <c r="BC12" s="7">
        <f>BC11*BC6</f>
        <v/>
      </c>
      <c r="BD12" s="7">
        <f>BD11*BD6</f>
        <v/>
      </c>
      <c r="BE12" s="7">
        <f>BE11*BE6</f>
        <v/>
      </c>
      <c r="BF12" s="7">
        <f>BF11*BF6</f>
        <v/>
      </c>
      <c r="BG12" s="7">
        <f>BG11*BG6</f>
        <v/>
      </c>
      <c r="BH12" s="7">
        <f>BH11*BH6</f>
        <v/>
      </c>
      <c r="BI12" s="7">
        <f>BI11*BI6</f>
        <v/>
      </c>
    </row>
    <row r="13">
      <c r="A13" s="4" t="inlineStr">
        <is>
          <t>Setup-fee revenue (Rs)</t>
        </is>
      </c>
      <c r="B13" s="7">
        <f>B8*Assumptions!$B$13</f>
        <v/>
      </c>
      <c r="C13" s="7">
        <f>C8*Assumptions!$B$13</f>
        <v/>
      </c>
      <c r="D13" s="7">
        <f>D8*Assumptions!$B$13</f>
        <v/>
      </c>
      <c r="E13" s="7">
        <f>E8*Assumptions!$B$13</f>
        <v/>
      </c>
      <c r="F13" s="7">
        <f>F8*Assumptions!$B$13</f>
        <v/>
      </c>
      <c r="G13" s="7">
        <f>G8*Assumptions!$B$13</f>
        <v/>
      </c>
      <c r="H13" s="7">
        <f>H8*Assumptions!$B$13</f>
        <v/>
      </c>
      <c r="I13" s="7">
        <f>I8*Assumptions!$B$13</f>
        <v/>
      </c>
      <c r="J13" s="7">
        <f>J8*Assumptions!$B$13</f>
        <v/>
      </c>
      <c r="K13" s="7">
        <f>K8*Assumptions!$B$13</f>
        <v/>
      </c>
      <c r="L13" s="7">
        <f>L8*Assumptions!$B$13</f>
        <v/>
      </c>
      <c r="M13" s="7">
        <f>M8*Assumptions!$B$13</f>
        <v/>
      </c>
      <c r="N13" s="7">
        <f>N8*Assumptions!$B$13</f>
        <v/>
      </c>
      <c r="O13" s="7">
        <f>O8*Assumptions!$B$13</f>
        <v/>
      </c>
      <c r="P13" s="7">
        <f>P8*Assumptions!$B$13</f>
        <v/>
      </c>
      <c r="Q13" s="7">
        <f>Q8*Assumptions!$B$13</f>
        <v/>
      </c>
      <c r="R13" s="7">
        <f>R8*Assumptions!$B$13</f>
        <v/>
      </c>
      <c r="S13" s="7">
        <f>S8*Assumptions!$B$13</f>
        <v/>
      </c>
      <c r="T13" s="7">
        <f>T8*Assumptions!$B$13</f>
        <v/>
      </c>
      <c r="U13" s="7">
        <f>U8*Assumptions!$B$13</f>
        <v/>
      </c>
      <c r="V13" s="7">
        <f>V8*Assumptions!$B$13</f>
        <v/>
      </c>
      <c r="W13" s="7">
        <f>W8*Assumptions!$B$13</f>
        <v/>
      </c>
      <c r="X13" s="7">
        <f>X8*Assumptions!$B$13</f>
        <v/>
      </c>
      <c r="Y13" s="7">
        <f>Y8*Assumptions!$B$13</f>
        <v/>
      </c>
      <c r="Z13" s="7">
        <f>Z8*Assumptions!$B$13</f>
        <v/>
      </c>
      <c r="AA13" s="7">
        <f>AA8*Assumptions!$B$13</f>
        <v/>
      </c>
      <c r="AB13" s="7">
        <f>AB8*Assumptions!$B$13</f>
        <v/>
      </c>
      <c r="AC13" s="7">
        <f>AC8*Assumptions!$B$13</f>
        <v/>
      </c>
      <c r="AD13" s="7">
        <f>AD8*Assumptions!$B$13</f>
        <v/>
      </c>
      <c r="AE13" s="7">
        <f>AE8*Assumptions!$B$13</f>
        <v/>
      </c>
      <c r="AF13" s="7">
        <f>AF8*Assumptions!$B$13</f>
        <v/>
      </c>
      <c r="AG13" s="7">
        <f>AG8*Assumptions!$B$13</f>
        <v/>
      </c>
      <c r="AH13" s="7">
        <f>AH8*Assumptions!$B$13</f>
        <v/>
      </c>
      <c r="AI13" s="7">
        <f>AI8*Assumptions!$B$13</f>
        <v/>
      </c>
      <c r="AJ13" s="7">
        <f>AJ8*Assumptions!$B$13</f>
        <v/>
      </c>
      <c r="AK13" s="7">
        <f>AK8*Assumptions!$B$13</f>
        <v/>
      </c>
      <c r="AL13" s="7">
        <f>AL8*Assumptions!$B$13</f>
        <v/>
      </c>
      <c r="AM13" s="7">
        <f>AM8*Assumptions!$B$13</f>
        <v/>
      </c>
      <c r="AN13" s="7">
        <f>AN8*Assumptions!$B$13</f>
        <v/>
      </c>
      <c r="AO13" s="7">
        <f>AO8*Assumptions!$B$13</f>
        <v/>
      </c>
      <c r="AP13" s="7">
        <f>AP8*Assumptions!$B$13</f>
        <v/>
      </c>
      <c r="AQ13" s="7">
        <f>AQ8*Assumptions!$B$13</f>
        <v/>
      </c>
      <c r="AR13" s="7">
        <f>AR8*Assumptions!$B$13</f>
        <v/>
      </c>
      <c r="AS13" s="7">
        <f>AS8*Assumptions!$B$13</f>
        <v/>
      </c>
      <c r="AT13" s="7">
        <f>AT8*Assumptions!$B$13</f>
        <v/>
      </c>
      <c r="AU13" s="7">
        <f>AU8*Assumptions!$B$13</f>
        <v/>
      </c>
      <c r="AV13" s="7">
        <f>AV8*Assumptions!$B$13</f>
        <v/>
      </c>
      <c r="AW13" s="7">
        <f>AW8*Assumptions!$B$13</f>
        <v/>
      </c>
      <c r="AX13" s="7">
        <f>AX8*Assumptions!$B$13</f>
        <v/>
      </c>
      <c r="AY13" s="7">
        <f>AY8*Assumptions!$B$13</f>
        <v/>
      </c>
      <c r="AZ13" s="7">
        <f>AZ8*Assumptions!$B$13</f>
        <v/>
      </c>
      <c r="BA13" s="7">
        <f>BA8*Assumptions!$B$13</f>
        <v/>
      </c>
      <c r="BB13" s="7">
        <f>BB8*Assumptions!$B$13</f>
        <v/>
      </c>
      <c r="BC13" s="7">
        <f>BC8*Assumptions!$B$13</f>
        <v/>
      </c>
      <c r="BD13" s="7">
        <f>BD8*Assumptions!$B$13</f>
        <v/>
      </c>
      <c r="BE13" s="7">
        <f>BE8*Assumptions!$B$13</f>
        <v/>
      </c>
      <c r="BF13" s="7">
        <f>BF8*Assumptions!$B$13</f>
        <v/>
      </c>
      <c r="BG13" s="7">
        <f>BG8*Assumptions!$B$13</f>
        <v/>
      </c>
      <c r="BH13" s="7">
        <f>BH8*Assumptions!$B$13</f>
        <v/>
      </c>
      <c r="BI13" s="7">
        <f>BI8*Assumptions!$B$13</f>
        <v/>
      </c>
    </row>
    <row r="14">
      <c r="A14" s="15" t="inlineStr">
        <is>
          <t>Total revenue (Rs)</t>
        </is>
      </c>
      <c r="B14" s="7">
        <f>B12+B13</f>
        <v/>
      </c>
      <c r="C14" s="7">
        <f>C12+C13</f>
        <v/>
      </c>
      <c r="D14" s="7">
        <f>D12+D13</f>
        <v/>
      </c>
      <c r="E14" s="7">
        <f>E12+E13</f>
        <v/>
      </c>
      <c r="F14" s="7">
        <f>F12+F13</f>
        <v/>
      </c>
      <c r="G14" s="7">
        <f>G12+G13</f>
        <v/>
      </c>
      <c r="H14" s="7">
        <f>H12+H13</f>
        <v/>
      </c>
      <c r="I14" s="7">
        <f>I12+I13</f>
        <v/>
      </c>
      <c r="J14" s="7">
        <f>J12+J13</f>
        <v/>
      </c>
      <c r="K14" s="7">
        <f>K12+K13</f>
        <v/>
      </c>
      <c r="L14" s="7">
        <f>L12+L13</f>
        <v/>
      </c>
      <c r="M14" s="7">
        <f>M12+M13</f>
        <v/>
      </c>
      <c r="N14" s="7">
        <f>N12+N13</f>
        <v/>
      </c>
      <c r="O14" s="7">
        <f>O12+O13</f>
        <v/>
      </c>
      <c r="P14" s="7">
        <f>P12+P13</f>
        <v/>
      </c>
      <c r="Q14" s="7">
        <f>Q12+Q13</f>
        <v/>
      </c>
      <c r="R14" s="7">
        <f>R12+R13</f>
        <v/>
      </c>
      <c r="S14" s="7">
        <f>S12+S13</f>
        <v/>
      </c>
      <c r="T14" s="7">
        <f>T12+T13</f>
        <v/>
      </c>
      <c r="U14" s="7">
        <f>U12+U13</f>
        <v/>
      </c>
      <c r="V14" s="7">
        <f>V12+V13</f>
        <v/>
      </c>
      <c r="W14" s="7">
        <f>W12+W13</f>
        <v/>
      </c>
      <c r="X14" s="7">
        <f>X12+X13</f>
        <v/>
      </c>
      <c r="Y14" s="7">
        <f>Y12+Y13</f>
        <v/>
      </c>
      <c r="Z14" s="7">
        <f>Z12+Z13</f>
        <v/>
      </c>
      <c r="AA14" s="7">
        <f>AA12+AA13</f>
        <v/>
      </c>
      <c r="AB14" s="7">
        <f>AB12+AB13</f>
        <v/>
      </c>
      <c r="AC14" s="7">
        <f>AC12+AC13</f>
        <v/>
      </c>
      <c r="AD14" s="7">
        <f>AD12+AD13</f>
        <v/>
      </c>
      <c r="AE14" s="7">
        <f>AE12+AE13</f>
        <v/>
      </c>
      <c r="AF14" s="7">
        <f>AF12+AF13</f>
        <v/>
      </c>
      <c r="AG14" s="7">
        <f>AG12+AG13</f>
        <v/>
      </c>
      <c r="AH14" s="7">
        <f>AH12+AH13</f>
        <v/>
      </c>
      <c r="AI14" s="7">
        <f>AI12+AI13</f>
        <v/>
      </c>
      <c r="AJ14" s="7">
        <f>AJ12+AJ13</f>
        <v/>
      </c>
      <c r="AK14" s="7">
        <f>AK12+AK13</f>
        <v/>
      </c>
      <c r="AL14" s="7">
        <f>AL12+AL13</f>
        <v/>
      </c>
      <c r="AM14" s="7">
        <f>AM12+AM13</f>
        <v/>
      </c>
      <c r="AN14" s="7">
        <f>AN12+AN13</f>
        <v/>
      </c>
      <c r="AO14" s="7">
        <f>AO12+AO13</f>
        <v/>
      </c>
      <c r="AP14" s="7">
        <f>AP12+AP13</f>
        <v/>
      </c>
      <c r="AQ14" s="7">
        <f>AQ12+AQ13</f>
        <v/>
      </c>
      <c r="AR14" s="7">
        <f>AR12+AR13</f>
        <v/>
      </c>
      <c r="AS14" s="7">
        <f>AS12+AS13</f>
        <v/>
      </c>
      <c r="AT14" s="7">
        <f>AT12+AT13</f>
        <v/>
      </c>
      <c r="AU14" s="7">
        <f>AU12+AU13</f>
        <v/>
      </c>
      <c r="AV14" s="7">
        <f>AV12+AV13</f>
        <v/>
      </c>
      <c r="AW14" s="7">
        <f>AW12+AW13</f>
        <v/>
      </c>
      <c r="AX14" s="7">
        <f>AX12+AX13</f>
        <v/>
      </c>
      <c r="AY14" s="7">
        <f>AY12+AY13</f>
        <v/>
      </c>
      <c r="AZ14" s="7">
        <f>AZ12+AZ13</f>
        <v/>
      </c>
      <c r="BA14" s="7">
        <f>BA12+BA13</f>
        <v/>
      </c>
      <c r="BB14" s="7">
        <f>BB12+BB13</f>
        <v/>
      </c>
      <c r="BC14" s="7">
        <f>BC12+BC13</f>
        <v/>
      </c>
      <c r="BD14" s="7">
        <f>BD12+BD13</f>
        <v/>
      </c>
      <c r="BE14" s="7">
        <f>BE12+BE13</f>
        <v/>
      </c>
      <c r="BF14" s="7">
        <f>BF12+BF13</f>
        <v/>
      </c>
      <c r="BG14" s="7">
        <f>BG12+BG13</f>
        <v/>
      </c>
      <c r="BH14" s="7">
        <f>BH12+BH13</f>
        <v/>
      </c>
      <c r="BI14" s="7">
        <f>BI12+BI13</f>
        <v/>
      </c>
    </row>
    <row r="15">
      <c r="A15" s="4" t="inlineStr">
        <is>
          <t>Direct costs (Rs)</t>
        </is>
      </c>
      <c r="B15" s="7">
        <f>B11*Assumptions!$B$23</f>
        <v/>
      </c>
      <c r="C15" s="7">
        <f>C11*Assumptions!$B$23</f>
        <v/>
      </c>
      <c r="D15" s="7">
        <f>D11*Assumptions!$B$23</f>
        <v/>
      </c>
      <c r="E15" s="7">
        <f>E11*Assumptions!$B$23</f>
        <v/>
      </c>
      <c r="F15" s="7">
        <f>F11*Assumptions!$B$23</f>
        <v/>
      </c>
      <c r="G15" s="7">
        <f>G11*Assumptions!$B$23</f>
        <v/>
      </c>
      <c r="H15" s="7">
        <f>H11*Assumptions!$B$23</f>
        <v/>
      </c>
      <c r="I15" s="7">
        <f>I11*Assumptions!$B$23</f>
        <v/>
      </c>
      <c r="J15" s="7">
        <f>J11*Assumptions!$B$23</f>
        <v/>
      </c>
      <c r="K15" s="7">
        <f>K11*Assumptions!$B$23</f>
        <v/>
      </c>
      <c r="L15" s="7">
        <f>L11*Assumptions!$B$23</f>
        <v/>
      </c>
      <c r="M15" s="7">
        <f>M11*Assumptions!$B$23</f>
        <v/>
      </c>
      <c r="N15" s="7">
        <f>N11*Assumptions!$B$23</f>
        <v/>
      </c>
      <c r="O15" s="7">
        <f>O11*Assumptions!$B$23</f>
        <v/>
      </c>
      <c r="P15" s="7">
        <f>P11*Assumptions!$B$23</f>
        <v/>
      </c>
      <c r="Q15" s="7">
        <f>Q11*Assumptions!$B$23</f>
        <v/>
      </c>
      <c r="R15" s="7">
        <f>R11*Assumptions!$B$23</f>
        <v/>
      </c>
      <c r="S15" s="7">
        <f>S11*Assumptions!$B$23</f>
        <v/>
      </c>
      <c r="T15" s="7">
        <f>T11*Assumptions!$B$23</f>
        <v/>
      </c>
      <c r="U15" s="7">
        <f>U11*Assumptions!$B$23</f>
        <v/>
      </c>
      <c r="V15" s="7">
        <f>V11*Assumptions!$B$23</f>
        <v/>
      </c>
      <c r="W15" s="7">
        <f>W11*Assumptions!$B$23</f>
        <v/>
      </c>
      <c r="X15" s="7">
        <f>X11*Assumptions!$B$23</f>
        <v/>
      </c>
      <c r="Y15" s="7">
        <f>Y11*Assumptions!$B$23</f>
        <v/>
      </c>
      <c r="Z15" s="7">
        <f>Z11*Assumptions!$B$23</f>
        <v/>
      </c>
      <c r="AA15" s="7">
        <f>AA11*Assumptions!$B$23</f>
        <v/>
      </c>
      <c r="AB15" s="7">
        <f>AB11*Assumptions!$B$23</f>
        <v/>
      </c>
      <c r="AC15" s="7">
        <f>AC11*Assumptions!$B$23</f>
        <v/>
      </c>
      <c r="AD15" s="7">
        <f>AD11*Assumptions!$B$23</f>
        <v/>
      </c>
      <c r="AE15" s="7">
        <f>AE11*Assumptions!$B$23</f>
        <v/>
      </c>
      <c r="AF15" s="7">
        <f>AF11*Assumptions!$B$23</f>
        <v/>
      </c>
      <c r="AG15" s="7">
        <f>AG11*Assumptions!$B$23</f>
        <v/>
      </c>
      <c r="AH15" s="7">
        <f>AH11*Assumptions!$B$23</f>
        <v/>
      </c>
      <c r="AI15" s="7">
        <f>AI11*Assumptions!$B$23</f>
        <v/>
      </c>
      <c r="AJ15" s="7">
        <f>AJ11*Assumptions!$B$23</f>
        <v/>
      </c>
      <c r="AK15" s="7">
        <f>AK11*Assumptions!$B$23</f>
        <v/>
      </c>
      <c r="AL15" s="7">
        <f>AL11*Assumptions!$B$23</f>
        <v/>
      </c>
      <c r="AM15" s="7">
        <f>AM11*Assumptions!$B$23</f>
        <v/>
      </c>
      <c r="AN15" s="7">
        <f>AN11*Assumptions!$B$23</f>
        <v/>
      </c>
      <c r="AO15" s="7">
        <f>AO11*Assumptions!$B$23</f>
        <v/>
      </c>
      <c r="AP15" s="7">
        <f>AP11*Assumptions!$B$23</f>
        <v/>
      </c>
      <c r="AQ15" s="7">
        <f>AQ11*Assumptions!$B$23</f>
        <v/>
      </c>
      <c r="AR15" s="7">
        <f>AR11*Assumptions!$B$23</f>
        <v/>
      </c>
      <c r="AS15" s="7">
        <f>AS11*Assumptions!$B$23</f>
        <v/>
      </c>
      <c r="AT15" s="7">
        <f>AT11*Assumptions!$B$23</f>
        <v/>
      </c>
      <c r="AU15" s="7">
        <f>AU11*Assumptions!$B$23</f>
        <v/>
      </c>
      <c r="AV15" s="7">
        <f>AV11*Assumptions!$B$23</f>
        <v/>
      </c>
      <c r="AW15" s="7">
        <f>AW11*Assumptions!$B$23</f>
        <v/>
      </c>
      <c r="AX15" s="7">
        <f>AX11*Assumptions!$B$23</f>
        <v/>
      </c>
      <c r="AY15" s="7">
        <f>AY11*Assumptions!$B$23</f>
        <v/>
      </c>
      <c r="AZ15" s="7">
        <f>AZ11*Assumptions!$B$23</f>
        <v/>
      </c>
      <c r="BA15" s="7">
        <f>BA11*Assumptions!$B$23</f>
        <v/>
      </c>
      <c r="BB15" s="7">
        <f>BB11*Assumptions!$B$23</f>
        <v/>
      </c>
      <c r="BC15" s="7">
        <f>BC11*Assumptions!$B$23</f>
        <v/>
      </c>
      <c r="BD15" s="7">
        <f>BD11*Assumptions!$B$23</f>
        <v/>
      </c>
      <c r="BE15" s="7">
        <f>BE11*Assumptions!$B$23</f>
        <v/>
      </c>
      <c r="BF15" s="7">
        <f>BF11*Assumptions!$B$23</f>
        <v/>
      </c>
      <c r="BG15" s="7">
        <f>BG11*Assumptions!$B$23</f>
        <v/>
      </c>
      <c r="BH15" s="7">
        <f>BH11*Assumptions!$B$23</f>
        <v/>
      </c>
      <c r="BI15" s="7">
        <f>BI11*Assumptions!$B$23</f>
        <v/>
      </c>
    </row>
    <row r="16">
      <c r="A16" s="15" t="inlineStr">
        <is>
          <t>Gross profit (Rs)</t>
        </is>
      </c>
      <c r="B16" s="7">
        <f>B14-B15</f>
        <v/>
      </c>
      <c r="C16" s="7">
        <f>C14-C15</f>
        <v/>
      </c>
      <c r="D16" s="7">
        <f>D14-D15</f>
        <v/>
      </c>
      <c r="E16" s="7">
        <f>E14-E15</f>
        <v/>
      </c>
      <c r="F16" s="7">
        <f>F14-F15</f>
        <v/>
      </c>
      <c r="G16" s="7">
        <f>G14-G15</f>
        <v/>
      </c>
      <c r="H16" s="7">
        <f>H14-H15</f>
        <v/>
      </c>
      <c r="I16" s="7">
        <f>I14-I15</f>
        <v/>
      </c>
      <c r="J16" s="7">
        <f>J14-J15</f>
        <v/>
      </c>
      <c r="K16" s="7">
        <f>K14-K15</f>
        <v/>
      </c>
      <c r="L16" s="7">
        <f>L14-L15</f>
        <v/>
      </c>
      <c r="M16" s="7">
        <f>M14-M15</f>
        <v/>
      </c>
      <c r="N16" s="7">
        <f>N14-N15</f>
        <v/>
      </c>
      <c r="O16" s="7">
        <f>O14-O15</f>
        <v/>
      </c>
      <c r="P16" s="7">
        <f>P14-P15</f>
        <v/>
      </c>
      <c r="Q16" s="7">
        <f>Q14-Q15</f>
        <v/>
      </c>
      <c r="R16" s="7">
        <f>R14-R15</f>
        <v/>
      </c>
      <c r="S16" s="7">
        <f>S14-S15</f>
        <v/>
      </c>
      <c r="T16" s="7">
        <f>T14-T15</f>
        <v/>
      </c>
      <c r="U16" s="7">
        <f>U14-U15</f>
        <v/>
      </c>
      <c r="V16" s="7">
        <f>V14-V15</f>
        <v/>
      </c>
      <c r="W16" s="7">
        <f>W14-W15</f>
        <v/>
      </c>
      <c r="X16" s="7">
        <f>X14-X15</f>
        <v/>
      </c>
      <c r="Y16" s="7">
        <f>Y14-Y15</f>
        <v/>
      </c>
      <c r="Z16" s="7">
        <f>Z14-Z15</f>
        <v/>
      </c>
      <c r="AA16" s="7">
        <f>AA14-AA15</f>
        <v/>
      </c>
      <c r="AB16" s="7">
        <f>AB14-AB15</f>
        <v/>
      </c>
      <c r="AC16" s="7">
        <f>AC14-AC15</f>
        <v/>
      </c>
      <c r="AD16" s="7">
        <f>AD14-AD15</f>
        <v/>
      </c>
      <c r="AE16" s="7">
        <f>AE14-AE15</f>
        <v/>
      </c>
      <c r="AF16" s="7">
        <f>AF14-AF15</f>
        <v/>
      </c>
      <c r="AG16" s="7">
        <f>AG14-AG15</f>
        <v/>
      </c>
      <c r="AH16" s="7">
        <f>AH14-AH15</f>
        <v/>
      </c>
      <c r="AI16" s="7">
        <f>AI14-AI15</f>
        <v/>
      </c>
      <c r="AJ16" s="7">
        <f>AJ14-AJ15</f>
        <v/>
      </c>
      <c r="AK16" s="7">
        <f>AK14-AK15</f>
        <v/>
      </c>
      <c r="AL16" s="7">
        <f>AL14-AL15</f>
        <v/>
      </c>
      <c r="AM16" s="7">
        <f>AM14-AM15</f>
        <v/>
      </c>
      <c r="AN16" s="7">
        <f>AN14-AN15</f>
        <v/>
      </c>
      <c r="AO16" s="7">
        <f>AO14-AO15</f>
        <v/>
      </c>
      <c r="AP16" s="7">
        <f>AP14-AP15</f>
        <v/>
      </c>
      <c r="AQ16" s="7">
        <f>AQ14-AQ15</f>
        <v/>
      </c>
      <c r="AR16" s="7">
        <f>AR14-AR15</f>
        <v/>
      </c>
      <c r="AS16" s="7">
        <f>AS14-AS15</f>
        <v/>
      </c>
      <c r="AT16" s="7">
        <f>AT14-AT15</f>
        <v/>
      </c>
      <c r="AU16" s="7">
        <f>AU14-AU15</f>
        <v/>
      </c>
      <c r="AV16" s="7">
        <f>AV14-AV15</f>
        <v/>
      </c>
      <c r="AW16" s="7">
        <f>AW14-AW15</f>
        <v/>
      </c>
      <c r="AX16" s="7">
        <f>AX14-AX15</f>
        <v/>
      </c>
      <c r="AY16" s="7">
        <f>AY14-AY15</f>
        <v/>
      </c>
      <c r="AZ16" s="7">
        <f>AZ14-AZ15</f>
        <v/>
      </c>
      <c r="BA16" s="7">
        <f>BA14-BA15</f>
        <v/>
      </c>
      <c r="BB16" s="7">
        <f>BB14-BB15</f>
        <v/>
      </c>
      <c r="BC16" s="7">
        <f>BC14-BC15</f>
        <v/>
      </c>
      <c r="BD16" s="7">
        <f>BD14-BD15</f>
        <v/>
      </c>
      <c r="BE16" s="7">
        <f>BE14-BE15</f>
        <v/>
      </c>
      <c r="BF16" s="7">
        <f>BF14-BF15</f>
        <v/>
      </c>
      <c r="BG16" s="7">
        <f>BG14-BG15</f>
        <v/>
      </c>
      <c r="BH16" s="7">
        <f>BH14-BH15</f>
        <v/>
      </c>
      <c r="BI16" s="7">
        <f>BI14-BI15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SAHULATKAAR — 5-YEAR FORECAST (Rs)</t>
        </is>
      </c>
    </row>
    <row r="2">
      <c r="A2" s="2" t="inlineStr">
        <is>
          <t>Every figure is a formula driven by the Assumptions sheet. Simplified EBITDA model (no D&amp;A/financing).</t>
        </is>
      </c>
    </row>
    <row r="3">
      <c r="A3" s="3" t="inlineStr"/>
      <c r="B3" s="3" t="inlineStr">
        <is>
          <t>Year 1 (FY27)</t>
        </is>
      </c>
      <c r="C3" s="3" t="inlineStr">
        <is>
          <t>Year 2 (FY28)</t>
        </is>
      </c>
      <c r="D3" s="3" t="inlineStr">
        <is>
          <t>Year 3 (FY29)</t>
        </is>
      </c>
      <c r="E3" s="3" t="inlineStr">
        <is>
          <t>Year 4 (FY30)</t>
        </is>
      </c>
      <c r="F3" s="3" t="inlineStr">
        <is>
          <t>Year 5 (FY31)</t>
        </is>
      </c>
    </row>
    <row r="4">
      <c r="A4" t="inlineStr">
        <is>
          <t>Year index</t>
        </is>
      </c>
      <c r="B4" s="16" t="n">
        <v>1</v>
      </c>
      <c r="C4" s="16" t="n">
        <v>2</v>
      </c>
      <c r="D4" s="16" t="n">
        <v>3</v>
      </c>
      <c r="E4" s="16" t="n">
        <v>4</v>
      </c>
      <c r="F4" s="16" t="n">
        <v>5</v>
      </c>
    </row>
    <row r="6">
      <c r="A6" s="4" t="inlineStr">
        <is>
          <t>New merchants signed</t>
        </is>
      </c>
      <c r="B6" s="17">
        <f>SUMIF(Monthly!$B$4:$BI$4,B4,Monthly!$B$8:$BI$8)</f>
        <v/>
      </c>
      <c r="C6" s="17">
        <f>SUMIF(Monthly!$B$4:$BI$4,C4,Monthly!$B$8:$BI$8)</f>
        <v/>
      </c>
      <c r="D6" s="17">
        <f>SUMIF(Monthly!$B$4:$BI$4,D4,Monthly!$B$8:$BI$8)</f>
        <v/>
      </c>
      <c r="E6" s="17">
        <f>SUMIF(Monthly!$B$4:$BI$4,E4,Monthly!$B$8:$BI$8)</f>
        <v/>
      </c>
      <c r="F6" s="17">
        <f>SUMIF(Monthly!$B$4:$BI$4,F4,Monthly!$B$8:$BI$8)</f>
        <v/>
      </c>
    </row>
    <row r="7">
      <c r="A7" s="15" t="inlineStr">
        <is>
          <t>Merchants — end of year</t>
        </is>
      </c>
      <c r="B7" s="18">
        <f>INDEX(Monthly!$B$10:$BI$10,1,B4*12)</f>
        <v/>
      </c>
      <c r="C7" s="18">
        <f>INDEX(Monthly!$B$10:$BI$10,1,C4*12)</f>
        <v/>
      </c>
      <c r="D7" s="18">
        <f>INDEX(Monthly!$B$10:$BI$10,1,D4*12)</f>
        <v/>
      </c>
      <c r="E7" s="18">
        <f>INDEX(Monthly!$B$10:$BI$10,1,E4*12)</f>
        <v/>
      </c>
      <c r="F7" s="18">
        <f>INDEX(Monthly!$B$10:$BI$10,1,F4*12)</f>
        <v/>
      </c>
    </row>
    <row r="8">
      <c r="A8" s="4" t="inlineStr">
        <is>
          <t>Average active merchants</t>
        </is>
      </c>
      <c r="B8" s="17">
        <f>AVERAGEIF(Monthly!$B$4:$BI$4,B4,Monthly!$B$11:$BI$11)</f>
        <v/>
      </c>
      <c r="C8" s="17">
        <f>AVERAGEIF(Monthly!$B$4:$BI$4,C4,Monthly!$B$11:$BI$11)</f>
        <v/>
      </c>
      <c r="D8" s="17">
        <f>AVERAGEIF(Monthly!$B$4:$BI$4,D4,Monthly!$B$11:$BI$11)</f>
        <v/>
      </c>
      <c r="E8" s="17">
        <f>AVERAGEIF(Monthly!$B$4:$BI$4,E4,Monthly!$B$11:$BI$11)</f>
        <v/>
      </c>
      <c r="F8" s="17">
        <f>AVERAGEIF(Monthly!$B$4:$BI$4,F4,Monthly!$B$11:$BI$11)</f>
        <v/>
      </c>
    </row>
    <row r="10">
      <c r="A10" s="4" t="inlineStr">
        <is>
          <t>Subscription revenue</t>
        </is>
      </c>
      <c r="B10" s="19">
        <f>SUMIF(Monthly!$B$4:$BI$4,B4,Monthly!$B$12:$BI$12)</f>
        <v/>
      </c>
      <c r="C10" s="19">
        <f>SUMIF(Monthly!$B$4:$BI$4,C4,Monthly!$B$12:$BI$12)</f>
        <v/>
      </c>
      <c r="D10" s="19">
        <f>SUMIF(Monthly!$B$4:$BI$4,D4,Monthly!$B$12:$BI$12)</f>
        <v/>
      </c>
      <c r="E10" s="19">
        <f>SUMIF(Monthly!$B$4:$BI$4,E4,Monthly!$B$12:$BI$12)</f>
        <v/>
      </c>
      <c r="F10" s="19">
        <f>SUMIF(Monthly!$B$4:$BI$4,F4,Monthly!$B$12:$BI$12)</f>
        <v/>
      </c>
    </row>
    <row r="11">
      <c r="A11" s="4" t="inlineStr">
        <is>
          <t>Setup-fee revenue</t>
        </is>
      </c>
      <c r="B11" s="19">
        <f>SUMIF(Monthly!$B$4:$BI$4,B4,Monthly!$B$13:$BI$13)</f>
        <v/>
      </c>
      <c r="C11" s="19">
        <f>SUMIF(Monthly!$B$4:$BI$4,C4,Monthly!$B$13:$BI$13)</f>
        <v/>
      </c>
      <c r="D11" s="19">
        <f>SUMIF(Monthly!$B$4:$BI$4,D4,Monthly!$B$13:$BI$13)</f>
        <v/>
      </c>
      <c r="E11" s="19">
        <f>SUMIF(Monthly!$B$4:$BI$4,E4,Monthly!$B$13:$BI$13)</f>
        <v/>
      </c>
      <c r="F11" s="19">
        <f>SUMIF(Monthly!$B$4:$BI$4,F4,Monthly!$B$13:$BI$13)</f>
        <v/>
      </c>
    </row>
    <row r="12">
      <c r="A12" s="15" t="inlineStr">
        <is>
          <t>Total revenue</t>
        </is>
      </c>
      <c r="B12" s="20">
        <f>B10+B11</f>
        <v/>
      </c>
      <c r="C12" s="20">
        <f>C10+C11</f>
        <v/>
      </c>
      <c r="D12" s="20">
        <f>D10+D11</f>
        <v/>
      </c>
      <c r="E12" s="20">
        <f>E10+E11</f>
        <v/>
      </c>
      <c r="F12" s="20">
        <f>F10+F11</f>
        <v/>
      </c>
    </row>
    <row r="13">
      <c r="A13" s="4" t="inlineStr">
        <is>
          <t>Direct costs (AI + hosting + WhatsApp)</t>
        </is>
      </c>
      <c r="B13" s="19">
        <f>SUMIF(Monthly!$B$4:$BI$4,B4,Monthly!$B$15:$BI$15)</f>
        <v/>
      </c>
      <c r="C13" s="19">
        <f>SUMIF(Monthly!$B$4:$BI$4,C4,Monthly!$B$15:$BI$15)</f>
        <v/>
      </c>
      <c r="D13" s="19">
        <f>SUMIF(Monthly!$B$4:$BI$4,D4,Monthly!$B$15:$BI$15)</f>
        <v/>
      </c>
      <c r="E13" s="19">
        <f>SUMIF(Monthly!$B$4:$BI$4,E4,Monthly!$B$15:$BI$15)</f>
        <v/>
      </c>
      <c r="F13" s="19">
        <f>SUMIF(Monthly!$B$4:$BI$4,F4,Monthly!$B$15:$BI$15)</f>
        <v/>
      </c>
    </row>
    <row r="14">
      <c r="A14" s="15" t="inlineStr">
        <is>
          <t>Gross profit</t>
        </is>
      </c>
      <c r="B14" s="20">
        <f>B12-B13</f>
        <v/>
      </c>
      <c r="C14" s="20">
        <f>C12-C13</f>
        <v/>
      </c>
      <c r="D14" s="20">
        <f>D12-D13</f>
        <v/>
      </c>
      <c r="E14" s="20">
        <f>E12-E13</f>
        <v/>
      </c>
      <c r="F14" s="20">
        <f>F12-F13</f>
        <v/>
      </c>
    </row>
    <row r="15">
      <c r="A15" s="4" t="inlineStr">
        <is>
          <t>Gross margin</t>
        </is>
      </c>
      <c r="B15" s="21">
        <f>B14/B12</f>
        <v/>
      </c>
      <c r="C15" s="21">
        <f>C14/C12</f>
        <v/>
      </c>
      <c r="D15" s="21">
        <f>D14/D12</f>
        <v/>
      </c>
      <c r="E15" s="21">
        <f>E14/E12</f>
        <v/>
      </c>
      <c r="F15" s="21">
        <f>F14/F12</f>
        <v/>
      </c>
    </row>
    <row r="17">
      <c r="A17" s="3" t="inlineStr">
        <is>
          <t>OPERATING EXPENSES</t>
        </is>
      </c>
    </row>
    <row r="18">
      <c r="A18" s="4" t="inlineStr">
        <is>
          <t>Engineering</t>
        </is>
      </c>
      <c r="B18" s="22">
        <f>INDEX(Assumptions!$C$26:$G$26,1,B4)*Assumptions!$B$27*12*(1+Assumptions!$B$31)^(B4-1)</f>
        <v/>
      </c>
      <c r="C18" s="22">
        <f>INDEX(Assumptions!$C$26:$G$26,1,C4)*Assumptions!$B$27*12*(1+Assumptions!$B$31)^(C4-1)</f>
        <v/>
      </c>
      <c r="D18" s="22">
        <f>INDEX(Assumptions!$C$26:$G$26,1,D4)*Assumptions!$B$27*12*(1+Assumptions!$B$31)^(D4-1)</f>
        <v/>
      </c>
      <c r="E18" s="22">
        <f>INDEX(Assumptions!$C$26:$G$26,1,E4)*Assumptions!$B$27*12*(1+Assumptions!$B$31)^(E4-1)</f>
        <v/>
      </c>
      <c r="F18" s="22">
        <f>INDEX(Assumptions!$C$26:$G$26,1,F4)*Assumptions!$B$27*12*(1+Assumptions!$B$31)^(F4-1)</f>
        <v/>
      </c>
    </row>
    <row r="19">
      <c r="A19" s="4" t="inlineStr">
        <is>
          <t>Customer support</t>
        </is>
      </c>
      <c r="B19" s="22">
        <f>ROUNDUP(B7/Assumptions!$B$28,0)*Assumptions!$B$29*12*(1+Assumptions!$B$31)^(B4-1)</f>
        <v/>
      </c>
      <c r="C19" s="22">
        <f>ROUNDUP(C7/Assumptions!$B$28,0)*Assumptions!$B$29*12*(1+Assumptions!$B$31)^(C4-1)</f>
        <v/>
      </c>
      <c r="D19" s="22">
        <f>ROUNDUP(D7/Assumptions!$B$28,0)*Assumptions!$B$29*12*(1+Assumptions!$B$31)^(D4-1)</f>
        <v/>
      </c>
      <c r="E19" s="22">
        <f>ROUNDUP(E7/Assumptions!$B$28,0)*Assumptions!$B$29*12*(1+Assumptions!$B$31)^(E4-1)</f>
        <v/>
      </c>
      <c r="F19" s="22">
        <f>ROUNDUP(F7/Assumptions!$B$28,0)*Assumptions!$B$29*12*(1+Assumptions!$B$31)^(F4-1)</f>
        <v/>
      </c>
    </row>
    <row r="20">
      <c r="A20" s="4" t="inlineStr">
        <is>
          <t>Management</t>
        </is>
      </c>
      <c r="B20" s="22">
        <f>INDEX(Assumptions!$C$30:$G$30,1,B4)*12</f>
        <v/>
      </c>
      <c r="C20" s="22">
        <f>INDEX(Assumptions!$C$30:$G$30,1,C4)*12</f>
        <v/>
      </c>
      <c r="D20" s="22">
        <f>INDEX(Assumptions!$C$30:$G$30,1,D4)*12</f>
        <v/>
      </c>
      <c r="E20" s="22">
        <f>INDEX(Assumptions!$C$30:$G$30,1,E4)*12</f>
        <v/>
      </c>
      <c r="F20" s="22">
        <f>INDEX(Assumptions!$C$30:$G$30,1,F4)*12</f>
        <v/>
      </c>
    </row>
    <row r="21">
      <c r="A21" s="4" t="inlineStr">
        <is>
          <t>Sales &amp; marketing (CAC × new + brand)</t>
        </is>
      </c>
      <c r="B21" s="22">
        <f>B6*Assumptions!$B$34+INDEX(Assumptions!$C$35:$G$35,1,B4)</f>
        <v/>
      </c>
      <c r="C21" s="22">
        <f>C6*Assumptions!$B$34+INDEX(Assumptions!$C$35:$G$35,1,C4)</f>
        <v/>
      </c>
      <c r="D21" s="22">
        <f>D6*Assumptions!$B$34+INDEX(Assumptions!$C$35:$G$35,1,D4)</f>
        <v/>
      </c>
      <c r="E21" s="22">
        <f>E6*Assumptions!$B$34+INDEX(Assumptions!$C$35:$G$35,1,E4)</f>
        <v/>
      </c>
      <c r="F21" s="22">
        <f>F6*Assumptions!$B$34+INDEX(Assumptions!$C$35:$G$35,1,F4)</f>
        <v/>
      </c>
    </row>
    <row r="22">
      <c r="A22" s="4" t="inlineStr">
        <is>
          <t>G&amp;A / office</t>
        </is>
      </c>
      <c r="B22" s="22">
        <f>INDEX(Assumptions!$C$38:$G$38,1,B4)*12</f>
        <v/>
      </c>
      <c r="C22" s="22">
        <f>INDEX(Assumptions!$C$38:$G$38,1,C4)*12</f>
        <v/>
      </c>
      <c r="D22" s="22">
        <f>INDEX(Assumptions!$C$38:$G$38,1,D4)*12</f>
        <v/>
      </c>
      <c r="E22" s="22">
        <f>INDEX(Assumptions!$C$38:$G$38,1,E4)*12</f>
        <v/>
      </c>
      <c r="F22" s="22">
        <f>INDEX(Assumptions!$C$38:$G$38,1,F4)*12</f>
        <v/>
      </c>
    </row>
    <row r="23">
      <c r="A23" s="15" t="inlineStr">
        <is>
          <t>Total opex</t>
        </is>
      </c>
      <c r="B23" s="20">
        <f>SUM(B18:B22)</f>
        <v/>
      </c>
      <c r="C23" s="20">
        <f>SUM(C18:C22)</f>
        <v/>
      </c>
      <c r="D23" s="20">
        <f>SUM(D18:D22)</f>
        <v/>
      </c>
      <c r="E23" s="20">
        <f>SUM(E18:E22)</f>
        <v/>
      </c>
      <c r="F23" s="20">
        <f>SUM(F18:F22)</f>
        <v/>
      </c>
    </row>
    <row r="25">
      <c r="A25" s="15" t="inlineStr">
        <is>
          <t>EBITDA</t>
        </is>
      </c>
      <c r="B25" s="20">
        <f>B14-B23</f>
        <v/>
      </c>
      <c r="C25" s="20">
        <f>C14-C23</f>
        <v/>
      </c>
      <c r="D25" s="20">
        <f>D14-D23</f>
        <v/>
      </c>
      <c r="E25" s="20">
        <f>E14-E23</f>
        <v/>
      </c>
      <c r="F25" s="20">
        <f>F14-F23</f>
        <v/>
      </c>
    </row>
    <row r="26">
      <c r="A26" s="4" t="inlineStr">
        <is>
          <t>EBITDA margin</t>
        </is>
      </c>
      <c r="B26" s="21">
        <f>IF(B12=0,0,B25/B12)</f>
        <v/>
      </c>
      <c r="C26" s="21">
        <f>IF(C12=0,0,C25/C12)</f>
        <v/>
      </c>
      <c r="D26" s="21">
        <f>IF(D12=0,0,D25/D12)</f>
        <v/>
      </c>
      <c r="E26" s="21">
        <f>IF(E12=0,0,E25/E12)</f>
        <v/>
      </c>
      <c r="F26" s="21">
        <f>IF(F12=0,0,F25/F12)</f>
        <v/>
      </c>
    </row>
    <row r="27">
      <c r="A27" s="4" t="inlineStr">
        <is>
          <t>Tax (on positive EBITDA)</t>
        </is>
      </c>
      <c r="B27" s="22">
        <f>MAX(0,B25)*Assumptions!$B$39</f>
        <v/>
      </c>
      <c r="C27" s="22">
        <f>MAX(0,C25)*Assumptions!$B$39</f>
        <v/>
      </c>
      <c r="D27" s="22">
        <f>MAX(0,D25)*Assumptions!$B$39</f>
        <v/>
      </c>
      <c r="E27" s="22">
        <f>MAX(0,E25)*Assumptions!$B$39</f>
        <v/>
      </c>
      <c r="F27" s="22">
        <f>MAX(0,F25)*Assumptions!$B$39</f>
        <v/>
      </c>
    </row>
    <row r="28">
      <c r="A28" s="15" t="inlineStr">
        <is>
          <t>Net result</t>
        </is>
      </c>
      <c r="B28" s="20">
        <f>B25-B27</f>
        <v/>
      </c>
      <c r="C28" s="20">
        <f>C25-C27</f>
        <v/>
      </c>
      <c r="D28" s="20">
        <f>D25-D27</f>
        <v/>
      </c>
      <c r="E28" s="20">
        <f>E25-E27</f>
        <v/>
      </c>
      <c r="F28" s="20">
        <f>F25-F27</f>
        <v/>
      </c>
    </row>
    <row r="29">
      <c r="A29" s="15" t="inlineStr">
        <is>
          <t>Cumulative net cash</t>
        </is>
      </c>
      <c r="B29" s="23">
        <f>B28</f>
        <v/>
      </c>
      <c r="C29" s="23">
        <f>B29+C28</f>
        <v/>
      </c>
      <c r="D29" s="23">
        <f>C29+D28</f>
        <v/>
      </c>
      <c r="E29" s="23">
        <f>D29+E28</f>
        <v/>
      </c>
      <c r="F29" s="23">
        <f>E29+F28</f>
        <v/>
      </c>
    </row>
    <row r="31">
      <c r="A31" s="3" t="inlineStr">
        <is>
          <t>IN USD</t>
        </is>
      </c>
    </row>
    <row r="32">
      <c r="A32" s="4" t="inlineStr">
        <is>
          <t>Revenue (USD)</t>
        </is>
      </c>
      <c r="B32" s="24">
        <f>B12/Assumptions!$B$40</f>
        <v/>
      </c>
      <c r="C32" s="24">
        <f>C12/Assumptions!$B$40</f>
        <v/>
      </c>
      <c r="D32" s="24">
        <f>D12/Assumptions!$B$40</f>
        <v/>
      </c>
      <c r="E32" s="24">
        <f>E12/Assumptions!$B$40</f>
        <v/>
      </c>
      <c r="F32" s="24">
        <f>F12/Assumptions!$B$40</f>
        <v/>
      </c>
    </row>
    <row r="33">
      <c r="A33" s="4" t="inlineStr">
        <is>
          <t>EBITDA (USD)</t>
        </is>
      </c>
      <c r="B33" s="24">
        <f>B25/Assumptions!$B$40</f>
        <v/>
      </c>
      <c r="C33" s="24">
        <f>C25/Assumptions!$B$40</f>
        <v/>
      </c>
      <c r="D33" s="24">
        <f>D25/Assumptions!$B$40</f>
        <v/>
      </c>
      <c r="E33" s="24">
        <f>E25/Assumptions!$B$40</f>
        <v/>
      </c>
      <c r="F33" s="24">
        <f>F25/Assumptions!$B$40</f>
        <v/>
      </c>
    </row>
    <row r="35">
      <c r="A35" s="4" t="inlineStr">
        <is>
          <t>ARR run-rate at year end</t>
        </is>
      </c>
      <c r="B35" s="22">
        <f>INDEX(Monthly!$B$10:$BI$10,1,B4*12)*INDEX(Monthly!$B$6:$BI$6,1,B4*12)*12</f>
        <v/>
      </c>
      <c r="C35" s="22">
        <f>INDEX(Monthly!$B$10:$BI$10,1,C4*12)*INDEX(Monthly!$B$6:$BI$6,1,C4*12)*12</f>
        <v/>
      </c>
      <c r="D35" s="22">
        <f>INDEX(Monthly!$B$10:$BI$10,1,D4*12)*INDEX(Monthly!$B$6:$BI$6,1,D4*12)*12</f>
        <v/>
      </c>
      <c r="E35" s="22">
        <f>INDEX(Monthly!$B$10:$BI$10,1,E4*12)*INDEX(Monthly!$B$6:$BI$6,1,E4*12)*12</f>
        <v/>
      </c>
      <c r="F35" s="22">
        <f>INDEX(Monthly!$B$10:$BI$10,1,F4*12)*INDEX(Monthly!$B$6:$BI$6,1,F4*12)*12</f>
        <v/>
      </c>
    </row>
    <row r="37">
      <c r="A37" s="3" t="inlineStr">
        <is>
          <t>UNIT ECONOMICS</t>
        </is>
      </c>
    </row>
    <row r="38">
      <c r="A38" t="inlineStr">
        <is>
          <t>LTV (ARPU × GM ÷ churn)</t>
        </is>
      </c>
      <c r="B38" s="7">
        <f>Assumptions!B11*Forecast!B15/Assumptions!B17</f>
        <v/>
      </c>
    </row>
    <row r="39">
      <c r="A39" t="inlineStr">
        <is>
          <t>LTV / CAC</t>
        </is>
      </c>
      <c r="B39" s="25">
        <f>B38/Assumptions!B34</f>
        <v/>
      </c>
    </row>
    <row r="40">
      <c r="A40" t="inlineStr">
        <is>
          <t>CAC payback (months)</t>
        </is>
      </c>
      <c r="B40" s="26">
        <f>Assumptions!B34/(Assumptions!B11*Forecast!B15)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SAHULATKAAR — INVESTOR DASHBOARD</t>
        </is>
      </c>
    </row>
    <row r="3">
      <c r="A3" s="15" t="inlineStr">
        <is>
          <t>Merchants (Year 5)</t>
        </is>
      </c>
      <c r="B3" s="15" t="inlineStr">
        <is>
          <t>Revenue Year 5</t>
        </is>
      </c>
      <c r="C3" s="15" t="inlineStr">
        <is>
          <t>Revenue Year 5 (USD)</t>
        </is>
      </c>
      <c r="D3" s="15" t="inlineStr">
        <is>
          <t>EBITDA margin Year 5</t>
        </is>
      </c>
      <c r="E3" s="15" t="inlineStr">
        <is>
          <t>Gross margin</t>
        </is>
      </c>
      <c r="F3" s="15" t="inlineStr">
        <is>
          <t>LTV / CAC</t>
        </is>
      </c>
      <c r="G3" s="15" t="inlineStr">
        <is>
          <t>CAC payback (months)</t>
        </is>
      </c>
    </row>
    <row r="4">
      <c r="A4" s="27">
        <f>Forecast!F7</f>
        <v/>
      </c>
      <c r="B4" s="28">
        <f>Forecast!F12</f>
        <v/>
      </c>
      <c r="C4" s="29">
        <f>Forecast!F32</f>
        <v/>
      </c>
      <c r="D4" s="30">
        <f>Forecast!F26</f>
        <v/>
      </c>
      <c r="E4" s="30">
        <f>Forecast!F15</f>
        <v/>
      </c>
      <c r="F4" s="31">
        <f>Forecast!B39</f>
        <v/>
      </c>
      <c r="G4" s="32">
        <f>Forecast!B40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2026-07-06T12:03:50Z</dcterms:created>
  <dcterms:modified xmlns:dcterms="http://purl.org/dc/terms/" xmlns:xsi="http://www.w3.org/2001/XMLSchema-instance" xsi:type="dcterms:W3CDTF">2026-07-06T12:03:50Z</dcterms:modified>
</cp:coreProperties>
</file>